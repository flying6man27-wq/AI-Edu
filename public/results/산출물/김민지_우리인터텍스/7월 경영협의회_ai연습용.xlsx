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표지" sheetId="1" state="visible" r:id="rId3"/>
    <sheet name="PL_26 우리" sheetId="2" state="visible" r:id="rId4"/>
    <sheet name="BS_우리인터텍스" sheetId="3" state="visible" r:id="rId5"/>
    <sheet name="손익 현황_우리" sheetId="4" state="visible" r:id="rId6"/>
    <sheet name="재무 및 현금흐름 현황" sheetId="5" state="visible" r:id="rId7"/>
    <sheet name="인원 및 투자 현황" sheetId="6" state="visible" r:id="rId8"/>
    <sheet name="PL_25 우리" sheetId="7" state="visible" r:id="rId9"/>
    <sheet name="3.주요업무 현황" sheetId="8" state="visible" r:id="rId10"/>
    <sheet name="PL_26 계획" sheetId="9" state="visible" r:id="rId11"/>
    <sheet name="Sheet1" sheetId="10" state="visible" r:id="rId12"/>
  </sheets>
  <externalReferences>
    <externalReference r:id="rId13"/>
    <externalReference r:id="rId14"/>
  </externalReferences>
  <definedNames>
    <definedName function="false" hidden="false" localSheetId="7" name="_xlnm.Print_Area" vbProcedure="false">'3.주요업무 현황'!$A$1:$X$17</definedName>
    <definedName function="false" hidden="false" localSheetId="9" name="_xlnm.Print_Area" vbProcedure="false">Sheet1!$A$1:$E$29</definedName>
    <definedName function="false" hidden="false" localSheetId="3" name="_xlnm.Print_Area" vbProcedure="false">'손익 현황_우리'!$A$1:$W$41</definedName>
    <definedName function="false" hidden="false" localSheetId="5" name="_xlnm.Print_Area" vbProcedure="false">'인원 및 투자 현황'!$A$1:$W$38</definedName>
    <definedName function="false" hidden="false" localSheetId="4" name="_xlnm.Print_Area" vbProcedure="false">'재무 및 현금흐름 현황'!$A$1:$W$50</definedName>
    <definedName function="false" hidden="false" localSheetId="0" name="_xlnm.Print_Area" vbProcedure="false">표지!$A$1:$O$26</definedName>
    <definedName function="false" hidden="true" name="AccessDatabase" vbProcedure="false">"C:\My Documents\결산\98감가시부인.mdb"</definedName>
    <definedName function="false" hidden="true" name="Access_Button" vbProcedure="false">"X98감가시부인_Sheet11_List"</definedName>
    <definedName function="false" hidden="true" name="AS2DocOpenMode" vbProcedure="false">"AS2DocumentEdit"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D" vbProcedure="false">{#N/A,#N/A,TRUE,"Y생산";#N/A,#N/A,TRUE,"Y판매";#N/A,#N/A,TRUE,"Y총물량";#N/A,#N/A,TRUE,"Y능력";#N/A,#N/A,TRUE,"YKD"}</definedName>
    <definedName function="false" hidden="true" name="E" vbProcedure="false">{#N/A,#N/A,TRUE,"Y생산";#N/A,#N/A,TRUE,"Y판매";#N/A,#N/A,TRUE,"Y총물량";#N/A,#N/A,TRUE,"Y능력";#N/A,#N/A,TRUE,"YKD"}</definedName>
    <definedName function="false" hidden="true" name="F" vbProcedure="false">{#N/A,#N/A,FALSE,"96 3월물량표";#N/A,#N/A,FALSE,"96 4월물량표";#N/A,#N/A,FALSE,"96 5월물량표"}</definedName>
    <definedName function="false" hidden="true" name="G" vbProcedure="false">{#N/A,#N/A,FALSE,"96 3월물량표";#N/A,#N/A,FALSE,"96 4월물량표";#N/A,#N/A,FALSE,"96 5월물량표"}</definedName>
    <definedName function="false" hidden="true" name="GHUTGHF" vbProcedure="false">{#N/A,#N/A,FALSE,"96 3월물량표";#N/A,#N/A,FALSE,"96 4월물량표";#N/A,#N/A,FALSE,"96 5월물량표"}</definedName>
    <definedName function="false" hidden="true" name="HFG" vbProcedure="false">{#N/A,#N/A,TRUE,"Y생산";#N/A,#N/A,TRUE,"Y판매";#N/A,#N/A,TRUE,"Y총물량";#N/A,#N/A,TRUE,"Y능력";#N/A,#N/A,TRUE,"YKD"}</definedName>
    <definedName function="false" hidden="true" name="JK" vbProcedure="false">{#N/A,#N/A,TRUE,"Y생산";#N/A,#N/A,TRUE,"Y판매";#N/A,#N/A,TRUE,"Y총물량";#N/A,#N/A,TRUE,"Y능력";#N/A,#N/A,TRUE,"YKD"}</definedName>
    <definedName function="false" hidden="true" name="K" vbProcedure="false">{#N/A,#N/A,TRUE,"Y생산";#N/A,#N/A,TRUE,"Y판매";#N/A,#N/A,TRUE,"Y총물량";#N/A,#N/A,TRUE,"Y능력";#N/A,#N/A,TRUE,"YKD"}</definedName>
    <definedName function="false" hidden="true" name="KU" vbProcedure="false">{#N/A,#N/A,TRUE,"Y생산";#N/A,#N/A,TRUE,"Y판매";#N/A,#N/A,TRUE,"Y총물량";#N/A,#N/A,TRUE,"Y능력";#N/A,#N/A,TRUE,"YKD"}</definedName>
    <definedName function="false" hidden="true" name="LINE검토2" vbProcedure="false">{#N/A,#N/A,TRUE,"Y생산";#N/A,#N/A,TRUE,"Y판매";#N/A,#N/A,TRUE,"Y총물량";#N/A,#N/A,TRUE,"Y능력";#N/A,#N/A,TRUE,"YKD"}</definedName>
    <definedName function="false" hidden="true" name="PPK" vbProcedure="false">{#N/A,#N/A,FALSE,"96 3월물량표";#N/A,#N/A,FALSE,"96 4월물량표";#N/A,#N/A,FALSE,"96 5월물량표"}</definedName>
    <definedName function="false" hidden="true" name="QQQ" vbProcedure="false">{#N/A,#N/A,FALSE,"96 3월물량표";#N/A,#N/A,FALSE,"96 4월물량표";#N/A,#N/A,FALSE,"96 5월물량표"}</definedName>
    <definedName function="false" hidden="true" name="RRR" vbProcedure="false">[1]누TB!$G$1:$G$1019</definedName>
    <definedName function="false" hidden="true" name="TextRefCopyRangeCount" vbProcedure="false">2</definedName>
    <definedName function="false" hidden="true" name="THEME2" vbProcedure="false">{#N/A,#N/A,FALSE,"96 3월물량표";#N/A,#N/A,FALSE,"96 4월물량표";#N/A,#N/A,FALSE,"96 5월물량표"}</definedName>
    <definedName function="false" hidden="true" name="wrn.345." vbProcedure="false">{#N/A,#N/A,FALSE,"96 3월물량표";#N/A,#N/A,FALSE,"96 4월물량표";#N/A,#N/A,FALSE,"96 5월물량표"}</definedName>
    <definedName function="false" hidden="true" name="wrn.COSA._.FS._.국문." vbProcedure="false">{#N/A,#N/A,FALSE,"BS";#N/A,#N/A,FALSE,"PL";#N/A,#N/A,FALSE,"처분";#N/A,#N/A,FALSE,"현금";#N/A,#N/A,FALSE,"매출";#N/A,#N/A,FALSE,"원가";#N/A,#N/A,FALSE,"경영"}</definedName>
    <definedName function="false" hidden="true" name="wrn.Lead._.Schedule." vbProcedure="false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function="false" hidden="true" name="wrn.Y차._.종합." vbProcedure="false">{#N/A,#N/A,TRUE,"Y생산";#N/A,#N/A,TRUE,"Y판매";#N/A,#N/A,TRUE,"Y총물량";#N/A,#N/A,TRUE,"Y능력";#N/A,#N/A,TRUE,"YKD"}</definedName>
    <definedName function="false" hidden="true" name="XRefColumnsCount" vbProcedure="false">2</definedName>
    <definedName function="false" hidden="true" name="XRefCopyRangeCount" vbProcedure="false">1</definedName>
    <definedName function="false" hidden="true" name="XRefPasteRangeCount" vbProcedure="false">1</definedName>
    <definedName function="false" hidden="true" name="YYY" vbProcedure="false">{#N/A,#N/A,TRUE,"Y생산";#N/A,#N/A,TRUE,"Y판매";#N/A,#N/A,TRUE,"Y총물량";#N/A,#N/A,TRUE,"Y능력";#N/A,#N/A,TRUE,"YKD"}</definedName>
    <definedName function="false" hidden="true" name="_Sort" vbProcedure="false">#REF!</definedName>
    <definedName function="false" hidden="true" name="ㄹ" vbProcedure="false">{#N/A,#N/A,TRUE,"Y생산";#N/A,#N/A,TRUE,"Y판매";#N/A,#N/A,TRUE,"Y총물량";#N/A,#N/A,TRUE,"Y능력";#N/A,#N/A,TRUE,"YKD"}</definedName>
    <definedName function="false" hidden="true" name="ㅁ" vbProcedure="false">{#N/A,#N/A,TRUE,"Y생산";#N/A,#N/A,TRUE,"Y판매";#N/A,#N/A,TRUE,"Y총물량";#N/A,#N/A,TRUE,"Y능력";#N/A,#N/A,TRUE,"YKD"}</definedName>
    <definedName function="false" hidden="true" name="ㅂ" vbProcedure="false">{#N/A,#N/A,TRUE,"Y생산";#N/A,#N/A,TRUE,"Y판매";#N/A,#N/A,TRUE,"Y총물량";#N/A,#N/A,TRUE,"Y능력";#N/A,#N/A,TRUE,"YKD"}</definedName>
    <definedName function="false" hidden="true" name="ㅅ" vbProcedure="false">{#N/A,#N/A,TRUE,"Y생산";#N/A,#N/A,TRUE,"Y판매";#N/A,#N/A,TRUE,"Y총물량";#N/A,#N/A,TRUE,"Y능력";#N/A,#N/A,TRUE,"YKD"}</definedName>
    <definedName function="false" hidden="true" name="ㅈ" vbProcedure="false">{#N/A,#N/A,TRUE,"Y생산";#N/A,#N/A,TRUE,"Y판매";#N/A,#N/A,TRUE,"Y총물량";#N/A,#N/A,TRUE,"Y능력";#N/A,#N/A,TRUE,"YKD"}</definedName>
    <definedName function="false" hidden="true" name="ㅋㅋ" vbProcedure="false">{#N/A,#N/A,TRUE,"Y생산";#N/A,#N/A,TRUE,"Y판매";#N/A,#N/A,TRUE,"Y총물량";#N/A,#N/A,TRUE,"Y능력";#N/A,#N/A,TRUE,"YKD"}</definedName>
    <definedName function="false" hidden="true" name="ㅓ" vbProcedure="false">{#N/A,#N/A,TRUE,"Y생산";#N/A,#N/A,TRUE,"Y판매";#N/A,#N/A,TRUE,"Y총물량";#N/A,#N/A,TRUE,"Y능력";#N/A,#N/A,TRUE,"YKD"}</definedName>
    <definedName function="false" hidden="true" name="ㅗㅎ" vbProcedure="false">{#N/A,#N/A,TRUE,"Y생산";#N/A,#N/A,TRUE,"Y판매";#N/A,#N/A,TRUE,"Y총물량";#N/A,#N/A,TRUE,"Y능력";#N/A,#N/A,TRUE,"YKD"}</definedName>
    <definedName function="false" hidden="true" name="가1" vbProcedure="false">{#N/A,#N/A,TRUE,"Y생산";#N/A,#N/A,TRUE,"Y판매";#N/A,#N/A,TRUE,"Y총물량";#N/A,#N/A,TRUE,"Y능력";#N/A,#N/A,TRUE,"YKD"}</definedName>
    <definedName function="false" hidden="true" name="경합금2과운연계획" vbProcedure="false">{#N/A,#N/A,TRUE,"Y생산";#N/A,#N/A,TRUE,"Y판매";#N/A,#N/A,TRUE,"Y총물량";#N/A,#N/A,TRUE,"Y능력";#N/A,#N/A,TRUE,"YKD"}</definedName>
    <definedName function="false" hidden="true" name="금월" vbProcedure="false">{#N/A,#N/A,TRUE,"Y생산";#N/A,#N/A,TRUE,"Y판매";#N/A,#N/A,TRUE,"Y총물량";#N/A,#N/A,TRUE,"Y능력";#N/A,#N/A,TRUE,"YKD"}</definedName>
    <definedName function="false" hidden="false" name="당년" vbProcedure="false">[2]기본정보!$M$7</definedName>
    <definedName function="false" hidden="true" name="생산TON" vbProcedure="false">{#N/A,#N/A,TRUE,"Y생산";#N/A,#N/A,TRUE,"Y판매";#N/A,#N/A,TRUE,"Y총물량";#N/A,#N/A,TRUE,"Y능력";#N/A,#N/A,TRUE,"YKD"}</definedName>
    <definedName function="false" hidden="true" name="송" vbProcedure="false">{#N/A,#N/A,TRUE,"Y생산";#N/A,#N/A,TRUE,"Y판매";#N/A,#N/A,TRUE,"Y총물량";#N/A,#N/A,TRUE,"Y능력";#N/A,#N/A,TRUE,"YKD"}</definedName>
    <definedName function="false" hidden="true" name="송창기" vbProcedure="false">{#N/A,#N/A,TRUE,"Y생산";#N/A,#N/A,TRUE,"Y판매";#N/A,#N/A,TRUE,"Y총물량";#N/A,#N/A,TRUE,"Y능력";#N/A,#N/A,TRUE,"YKD"}</definedName>
    <definedName function="false" hidden="true" name="시간" vbProcedure="false">{#N/A,#N/A,TRUE,"Y생산";#N/A,#N/A,TRUE,"Y판매";#N/A,#N/A,TRUE,"Y총물량";#N/A,#N/A,TRUE,"Y능력";#N/A,#N/A,TRUE,"YKD"}</definedName>
    <definedName function="false" hidden="true" name="에이" vbProcedure="false">{#N/A,#N/A,TRUE,"Y생산";#N/A,#N/A,TRUE,"Y판매";#N/A,#N/A,TRUE,"Y총물량";#N/A,#N/A,TRUE,"Y능력";#N/A,#N/A,TRUE,"YKD"}</definedName>
    <definedName function="false" hidden="true" name="오성협" vbProcedure="false">{#N/A,#N/A,TRUE,"Y생산";#N/A,#N/A,TRUE,"Y판매";#N/A,#N/A,TRUE,"Y총물량";#N/A,#N/A,TRUE,"Y능력";#N/A,#N/A,TRUE,"YKD"}</definedName>
    <definedName function="false" hidden="true" name="외주계획" vbProcedure="false">{#N/A,#N/A,TRUE,"Y생산";#N/A,#N/A,TRUE,"Y판매";#N/A,#N/A,TRUE,"Y총물량";#N/A,#N/A,TRUE,"Y능력";#N/A,#N/A,TRUE,"YKD"}</definedName>
    <definedName function="false" hidden="false" name="원저_ISBN" vbProcedure="false">#REF!</definedName>
    <definedName function="false" hidden="true" name="자재기준" vbProcedure="false">{#N/A,#N/A,TRUE,"Y생산";#N/A,#N/A,TRUE,"Y판매";#N/A,#N/A,TRUE,"Y총물량";#N/A,#N/A,TRUE,"Y능력";#N/A,#N/A,TRUE,"YKD"}</definedName>
    <definedName function="false" hidden="false" name="전년" vbProcedure="false">[2]기본정보!$M$6</definedName>
    <definedName function="false" hidden="false" name="전전년" vbProcedure="false">[2]기본정보!$M$5</definedName>
    <definedName function="false" hidden="false" name="제작완료일" vbProcedure="false">#REF!</definedName>
    <definedName function="false" hidden="true" name="주요" vbProcedure="false">{#N/A,#N/A,TRUE,"Y생산";#N/A,#N/A,TRUE,"Y판매";#N/A,#N/A,TRUE,"Y총물량";#N/A,#N/A,TRUE,"Y능력";#N/A,#N/A,TRUE,"YKD"}</definedName>
    <definedName function="false" hidden="true" name="주요업무2" vbProcedure="false">{#N/A,#N/A,TRUE,"Y생산";#N/A,#N/A,TRUE,"Y판매";#N/A,#N/A,TRUE,"Y총물량";#N/A,#N/A,TRUE,"Y능력";#N/A,#N/A,TRUE,"YKD"}</definedName>
    <definedName function="false" hidden="true" name="주요업무3" vbProcedure="false">{#N/A,#N/A,TRUE,"Y생산";#N/A,#N/A,TRUE,"Y판매";#N/A,#N/A,TRUE,"Y총물량";#N/A,#N/A,TRUE,"Y능력";#N/A,#N/A,TRUE,"YKD"}</definedName>
    <definedName function="false" hidden="false" name="컨텐츠종류" vbProcedure="false">#REF!</definedName>
    <definedName function="false" hidden="true" name="품" vbProcedure="false">{#N/A,#N/A,TRUE,"Y생산";#N/A,#N/A,TRUE,"Y판매";#N/A,#N/A,TRUE,"Y총물량";#N/A,#N/A,TRUE,"Y능력";#N/A,#N/A,TRUE,"YKD"}</definedName>
    <definedName function="false" hidden="true" localSheetId="1" name="AS2TickmarkLS" vbProcedure="false">#REF!</definedName>
    <definedName function="false" hidden="true" localSheetId="1" name="_Sort" vbProcedure="false">#REF!</definedName>
    <definedName function="false" hidden="false" localSheetId="1" name="원저_ISBN" vbProcedure="false">#REF!</definedName>
    <definedName function="false" hidden="false" localSheetId="1" name="제작완료일" vbProcedure="false">#REF!</definedName>
    <definedName function="false" hidden="false" localSheetId="1" name="컨텐츠종류" vbProcedure="false">#REF!</definedName>
    <definedName function="false" hidden="false" localSheetId="5" name="원저_ISBN" vbProcedure="false">#REF!</definedName>
    <definedName function="false" hidden="false" localSheetId="5" name="제작완료일" vbProcedure="false">#REF!</definedName>
    <definedName function="false" hidden="false" localSheetId="5" name="컨텐츠종류" vbProcedure="false">#REF!</definedName>
    <definedName function="false" hidden="true" localSheetId="6" name="AS2TickmarkLS" vbProcedure="false">#REF!</definedName>
    <definedName function="false" hidden="true" localSheetId="6" name="_Sort" vbProcedure="false">#REF!</definedName>
    <definedName function="false" hidden="true" localSheetId="7" name="D" vbProcedure="false">{#N/A,#N/A,TRUE,"Y생산";#N/A,#N/A,TRUE,"Y판매";#N/A,#N/A,TRUE,"Y총물량";#N/A,#N/A,TRUE,"Y능력";#N/A,#N/A,TRUE,"YKD"}</definedName>
    <definedName function="false" hidden="true" localSheetId="7" name="E" vbProcedure="false">{#N/A,#N/A,TRUE,"Y생산";#N/A,#N/A,TRUE,"Y판매";#N/A,#N/A,TRUE,"Y총물량";#N/A,#N/A,TRUE,"Y능력";#N/A,#N/A,TRUE,"YKD"}</definedName>
    <definedName function="false" hidden="true" localSheetId="7" name="F" vbProcedure="false">{#N/A,#N/A,FALSE,"96 3월물량표";#N/A,#N/A,FALSE,"96 4월물량표";#N/A,#N/A,FALSE,"96 5월물량표"}</definedName>
    <definedName function="false" hidden="true" localSheetId="7" name="G" vbProcedure="false">{#N/A,#N/A,FALSE,"96 3월물량표";#N/A,#N/A,FALSE,"96 4월물량표";#N/A,#N/A,FALSE,"96 5월물량표"}</definedName>
    <definedName function="false" hidden="true" localSheetId="7" name="GHUTGHF" vbProcedure="false">{#N/A,#N/A,FALSE,"96 3월물량표";#N/A,#N/A,FALSE,"96 4월물량표";#N/A,#N/A,FALSE,"96 5월물량표"}</definedName>
    <definedName function="false" hidden="true" localSheetId="7" name="HFG" vbProcedure="false">{#N/A,#N/A,TRUE,"Y생산";#N/A,#N/A,TRUE,"Y판매";#N/A,#N/A,TRUE,"Y총물량";#N/A,#N/A,TRUE,"Y능력";#N/A,#N/A,TRUE,"YKD"}</definedName>
    <definedName function="false" hidden="true" localSheetId="7" name="JK" vbProcedure="false">{#N/A,#N/A,TRUE,"Y생산";#N/A,#N/A,TRUE,"Y판매";#N/A,#N/A,TRUE,"Y총물량";#N/A,#N/A,TRUE,"Y능력";#N/A,#N/A,TRUE,"YKD"}</definedName>
    <definedName function="false" hidden="true" localSheetId="7" name="K" vbProcedure="false">{#N/A,#N/A,TRUE,"Y생산";#N/A,#N/A,TRUE,"Y판매";#N/A,#N/A,TRUE,"Y총물량";#N/A,#N/A,TRUE,"Y능력";#N/A,#N/A,TRUE,"YKD"}</definedName>
    <definedName function="false" hidden="true" localSheetId="7" name="KU" vbProcedure="false">{#N/A,#N/A,TRUE,"Y생산";#N/A,#N/A,TRUE,"Y판매";#N/A,#N/A,TRUE,"Y총물량";#N/A,#N/A,TRUE,"Y능력";#N/A,#N/A,TRUE,"YKD"}</definedName>
    <definedName function="false" hidden="true" localSheetId="7" name="LINE검토2" vbProcedure="false">{#N/A,#N/A,TRUE,"Y생산";#N/A,#N/A,TRUE,"Y판매";#N/A,#N/A,TRUE,"Y총물량";#N/A,#N/A,TRUE,"Y능력";#N/A,#N/A,TRUE,"YKD"}</definedName>
    <definedName function="false" hidden="true" localSheetId="7" name="PPK" vbProcedure="false">{#N/A,#N/A,FALSE,"96 3월물량표";#N/A,#N/A,FALSE,"96 4월물량표";#N/A,#N/A,FALSE,"96 5월물량표"}</definedName>
    <definedName function="false" hidden="true" localSheetId="7" name="QQQ" vbProcedure="false">{#N/A,#N/A,FALSE,"96 3월물량표";#N/A,#N/A,FALSE,"96 4월물량표";#N/A,#N/A,FALSE,"96 5월물량표"}</definedName>
    <definedName function="false" hidden="true" localSheetId="7" name="THEME2" vbProcedure="false">{#N/A,#N/A,FALSE,"96 3월물량표";#N/A,#N/A,FALSE,"96 4월물량표";#N/A,#N/A,FALSE,"96 5월물량표"}</definedName>
    <definedName function="false" hidden="true" localSheetId="7" name="wrn.345." vbProcedure="false">{#N/A,#N/A,FALSE,"96 3월물량표";#N/A,#N/A,FALSE,"96 4월물량표";#N/A,#N/A,FALSE,"96 5월물량표"}</definedName>
    <definedName function="false" hidden="true" localSheetId="7" name="wrn.COSA._.FS._.국문." vbProcedure="false">{#N/A,#N/A,FALSE,"BS";#N/A,#N/A,FALSE,"PL";#N/A,#N/A,FALSE,"처분";#N/A,#N/A,FALSE,"현금";#N/A,#N/A,FALSE,"매출";#N/A,#N/A,FALSE,"원가";#N/A,#N/A,FALSE,"경영"}</definedName>
    <definedName function="false" hidden="true" localSheetId="7" name="wrn.Lead._.Schedule." vbProcedure="false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function="false" hidden="true" localSheetId="7" name="wrn.Y차._.종합." vbProcedure="false">{#N/A,#N/A,TRUE,"Y생산";#N/A,#N/A,TRUE,"Y판매";#N/A,#N/A,TRUE,"Y총물량";#N/A,#N/A,TRUE,"Y능력";#N/A,#N/A,TRUE,"YKD"}</definedName>
    <definedName function="false" hidden="true" localSheetId="7" name="YYY" vbProcedure="false">{#N/A,#N/A,TRUE,"Y생산";#N/A,#N/A,TRUE,"Y판매";#N/A,#N/A,TRUE,"Y총물량";#N/A,#N/A,TRUE,"Y능력";#N/A,#N/A,TRUE,"YKD"}</definedName>
    <definedName function="false" hidden="true" localSheetId="7" name="ㄹ" vbProcedure="false">{#N/A,#N/A,TRUE,"Y생산";#N/A,#N/A,TRUE,"Y판매";#N/A,#N/A,TRUE,"Y총물량";#N/A,#N/A,TRUE,"Y능력";#N/A,#N/A,TRUE,"YKD"}</definedName>
    <definedName function="false" hidden="true" localSheetId="7" name="ㅁ" vbProcedure="false">{#N/A,#N/A,TRUE,"Y생산";#N/A,#N/A,TRUE,"Y판매";#N/A,#N/A,TRUE,"Y총물량";#N/A,#N/A,TRUE,"Y능력";#N/A,#N/A,TRUE,"YKD"}</definedName>
    <definedName function="false" hidden="true" localSheetId="7" name="ㅂ" vbProcedure="false">{#N/A,#N/A,TRUE,"Y생산";#N/A,#N/A,TRUE,"Y판매";#N/A,#N/A,TRUE,"Y총물량";#N/A,#N/A,TRUE,"Y능력";#N/A,#N/A,TRUE,"YKD"}</definedName>
    <definedName function="false" hidden="true" localSheetId="7" name="ㅅ" vbProcedure="false">{#N/A,#N/A,TRUE,"Y생산";#N/A,#N/A,TRUE,"Y판매";#N/A,#N/A,TRUE,"Y총물량";#N/A,#N/A,TRUE,"Y능력";#N/A,#N/A,TRUE,"YKD"}</definedName>
    <definedName function="false" hidden="true" localSheetId="7" name="ㅈ" vbProcedure="false">{#N/A,#N/A,TRUE,"Y생산";#N/A,#N/A,TRUE,"Y판매";#N/A,#N/A,TRUE,"Y총물량";#N/A,#N/A,TRUE,"Y능력";#N/A,#N/A,TRUE,"YKD"}</definedName>
    <definedName function="false" hidden="true" localSheetId="7" name="ㅋㅋ" vbProcedure="false">{#N/A,#N/A,TRUE,"Y생산";#N/A,#N/A,TRUE,"Y판매";#N/A,#N/A,TRUE,"Y총물량";#N/A,#N/A,TRUE,"Y능력";#N/A,#N/A,TRUE,"YKD"}</definedName>
    <definedName function="false" hidden="true" localSheetId="7" name="ㅓ" vbProcedure="false">{#N/A,#N/A,TRUE,"Y생산";#N/A,#N/A,TRUE,"Y판매";#N/A,#N/A,TRUE,"Y총물량";#N/A,#N/A,TRUE,"Y능력";#N/A,#N/A,TRUE,"YKD"}</definedName>
    <definedName function="false" hidden="true" localSheetId="7" name="ㅗㅎ" vbProcedure="false">{#N/A,#N/A,TRUE,"Y생산";#N/A,#N/A,TRUE,"Y판매";#N/A,#N/A,TRUE,"Y총물량";#N/A,#N/A,TRUE,"Y능력";#N/A,#N/A,TRUE,"YKD"}</definedName>
    <definedName function="false" hidden="true" localSheetId="7" name="가1" vbProcedure="false">{#N/A,#N/A,TRUE,"Y생산";#N/A,#N/A,TRUE,"Y판매";#N/A,#N/A,TRUE,"Y총물량";#N/A,#N/A,TRUE,"Y능력";#N/A,#N/A,TRUE,"YKD"}</definedName>
    <definedName function="false" hidden="true" localSheetId="7" name="경합금2과운연계획" vbProcedure="false">{#N/A,#N/A,TRUE,"Y생산";#N/A,#N/A,TRUE,"Y판매";#N/A,#N/A,TRUE,"Y총물량";#N/A,#N/A,TRUE,"Y능력";#N/A,#N/A,TRUE,"YKD"}</definedName>
    <definedName function="false" hidden="true" localSheetId="7" name="금월" vbProcedure="false">{#N/A,#N/A,TRUE,"Y생산";#N/A,#N/A,TRUE,"Y판매";#N/A,#N/A,TRUE,"Y총물량";#N/A,#N/A,TRUE,"Y능력";#N/A,#N/A,TRUE,"YKD"}</definedName>
    <definedName function="false" hidden="true" localSheetId="7" name="생산TON" vbProcedure="false">{#N/A,#N/A,TRUE,"Y생산";#N/A,#N/A,TRUE,"Y판매";#N/A,#N/A,TRUE,"Y총물량";#N/A,#N/A,TRUE,"Y능력";#N/A,#N/A,TRUE,"YKD"}</definedName>
    <definedName function="false" hidden="true" localSheetId="7" name="송" vbProcedure="false">{#N/A,#N/A,TRUE,"Y생산";#N/A,#N/A,TRUE,"Y판매";#N/A,#N/A,TRUE,"Y총물량";#N/A,#N/A,TRUE,"Y능력";#N/A,#N/A,TRUE,"YKD"}</definedName>
    <definedName function="false" hidden="true" localSheetId="7" name="송창기" vbProcedure="false">{#N/A,#N/A,TRUE,"Y생산";#N/A,#N/A,TRUE,"Y판매";#N/A,#N/A,TRUE,"Y총물량";#N/A,#N/A,TRUE,"Y능력";#N/A,#N/A,TRUE,"YKD"}</definedName>
    <definedName function="false" hidden="true" localSheetId="7" name="시간" vbProcedure="false">{#N/A,#N/A,TRUE,"Y생산";#N/A,#N/A,TRUE,"Y판매";#N/A,#N/A,TRUE,"Y총물량";#N/A,#N/A,TRUE,"Y능력";#N/A,#N/A,TRUE,"YKD"}</definedName>
    <definedName function="false" hidden="true" localSheetId="7" name="에이" vbProcedure="false">{#N/A,#N/A,TRUE,"Y생산";#N/A,#N/A,TRUE,"Y판매";#N/A,#N/A,TRUE,"Y총물량";#N/A,#N/A,TRUE,"Y능력";#N/A,#N/A,TRUE,"YKD"}</definedName>
    <definedName function="false" hidden="true" localSheetId="7" name="오성협" vbProcedure="false">{#N/A,#N/A,TRUE,"Y생산";#N/A,#N/A,TRUE,"Y판매";#N/A,#N/A,TRUE,"Y총물량";#N/A,#N/A,TRUE,"Y능력";#N/A,#N/A,TRUE,"YKD"}</definedName>
    <definedName function="false" hidden="true" localSheetId="7" name="외주계획" vbProcedure="false">{#N/A,#N/A,TRUE,"Y생산";#N/A,#N/A,TRUE,"Y판매";#N/A,#N/A,TRUE,"Y총물량";#N/A,#N/A,TRUE,"Y능력";#N/A,#N/A,TRUE,"YKD"}</definedName>
    <definedName function="false" hidden="false" localSheetId="7" name="원저_ISBN" vbProcedure="false">#REF!</definedName>
    <definedName function="false" hidden="true" localSheetId="7" name="자재기준" vbProcedure="false">{#N/A,#N/A,TRUE,"Y생산";#N/A,#N/A,TRUE,"Y판매";#N/A,#N/A,TRUE,"Y총물량";#N/A,#N/A,TRUE,"Y능력";#N/A,#N/A,TRUE,"YKD"}</definedName>
    <definedName function="false" hidden="false" localSheetId="7" name="제작완료일" vbProcedure="false">#REF!</definedName>
    <definedName function="false" hidden="true" localSheetId="7" name="주요" vbProcedure="false">{#N/A,#N/A,TRUE,"Y생산";#N/A,#N/A,TRUE,"Y판매";#N/A,#N/A,TRUE,"Y총물량";#N/A,#N/A,TRUE,"Y능력";#N/A,#N/A,TRUE,"YKD"}</definedName>
    <definedName function="false" hidden="true" localSheetId="7" name="주요업무2" vbProcedure="false">{#N/A,#N/A,TRUE,"Y생산";#N/A,#N/A,TRUE,"Y판매";#N/A,#N/A,TRUE,"Y총물량";#N/A,#N/A,TRUE,"Y능력";#N/A,#N/A,TRUE,"YKD"}</definedName>
    <definedName function="false" hidden="true" localSheetId="7" name="주요업무3" vbProcedure="false">{#N/A,#N/A,TRUE,"Y생산";#N/A,#N/A,TRUE,"Y판매";#N/A,#N/A,TRUE,"Y총물량";#N/A,#N/A,TRUE,"Y능력";#N/A,#N/A,TRUE,"YKD"}</definedName>
    <definedName function="false" hidden="false" localSheetId="7" name="컨텐츠종류" vbProcedure="false">#REF!</definedName>
    <definedName function="false" hidden="true" localSheetId="7" name="품" vbProcedure="false">{#N/A,#N/A,TRUE,"Y생산";#N/A,#N/A,TRUE,"Y판매";#N/A,#N/A,TRUE,"Y총물량";#N/A,#N/A,TRUE,"Y능력";#N/A,#N/A,TRUE,"YKD"}</definedName>
    <definedName function="false" hidden="true" localSheetId="8" name="AS2TickmarkLS" vbProcedure="false">#REF!</definedName>
    <definedName function="false" hidden="true" localSheetId="8" name="_Sort" vbProcedure="false">#REF!</definedName>
    <definedName function="false" hidden="false" localSheetId="8" name="원저_ISBN" vbProcedure="false">#REF!</definedName>
    <definedName function="false" hidden="false" localSheetId="8" name="제작완료일" vbProcedure="false">#REF!</definedName>
    <definedName function="false" hidden="false" localSheetId="8" name="컨텐츠종류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8" authorId="0">
      <text>
        <r>
          <rPr>
            <sz val="10"/>
            <rFont val="Arial"/>
            <family val="2"/>
          </rPr>
          <t xml:space="preserve">JHKim:
</t>
        </r>
        <r>
          <rPr>
            <sz val="10"/>
            <rFont val="Noto Sans CJK SC"/>
            <family val="2"/>
          </rPr>
          <t xml:space="preserve">서식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폰트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크기</t>
        </r>
        <r>
          <rPr>
            <sz val="10"/>
            <rFont val="Arial"/>
            <family val="2"/>
          </rPr>
          <t xml:space="preserve">,
</t>
        </r>
        <r>
          <rPr>
            <sz val="10"/>
            <rFont val="Noto Sans CJK SC"/>
            <family val="2"/>
          </rPr>
          <t xml:space="preserve">행 높이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열 너비 등
서식 변경 금지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0" authorId="0">
      <text>
        <r>
          <rPr>
            <sz val="10"/>
            <rFont val="Arial"/>
            <family val="2"/>
          </rPr>
          <t xml:space="preserve">JHKim:
</t>
        </r>
        <r>
          <rPr>
            <sz val="10"/>
            <rFont val="Noto Sans CJK SC"/>
            <family val="2"/>
          </rPr>
          <t xml:space="preserve">서식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폰트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크기</t>
        </r>
        <r>
          <rPr>
            <sz val="10"/>
            <rFont val="Arial"/>
            <family val="2"/>
          </rPr>
          <t xml:space="preserve">,
</t>
        </r>
        <r>
          <rPr>
            <sz val="10"/>
            <rFont val="Noto Sans CJK SC"/>
            <family val="2"/>
          </rPr>
          <t xml:space="preserve">행 높이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열 너비 등
서식 변경 금지</t>
        </r>
      </text>
    </comment>
    <comment ref="Z13" authorId="0">
      <text>
        <r>
          <rPr>
            <sz val="10"/>
            <rFont val="Arial"/>
            <family val="2"/>
          </rPr>
          <t xml:space="preserve">JHKim:
</t>
        </r>
        <r>
          <rPr>
            <sz val="10"/>
            <rFont val="Noto Sans CJK SC"/>
            <family val="2"/>
          </rPr>
          <t xml:space="preserve">자산화 항목에 대해서는
투자현황에 항목별 기재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전년 동일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<sst xmlns="http://schemas.openxmlformats.org/spreadsheetml/2006/main" count="841" uniqueCount="430">
  <si>
    <t xml:space="preserve">글자크기</t>
  </si>
  <si>
    <r>
      <rPr>
        <b val="true"/>
        <sz val="28"/>
        <color rgb="FF000000"/>
        <rFont val="나눔바른고딕"/>
        <family val="3"/>
        <charset val="129"/>
      </rPr>
      <t xml:space="preserve">( 8 )</t>
    </r>
    <r>
      <rPr>
        <b val="true"/>
        <sz val="28"/>
        <color rgb="FF000000"/>
        <rFont val="Noto Sans CJK SC"/>
        <family val="2"/>
      </rPr>
      <t xml:space="preserve">월 경영협의회</t>
    </r>
  </si>
  <si>
    <r>
      <rPr>
        <sz val="11"/>
        <color rgb="FF000000"/>
        <rFont val="나눔바른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아래를 참고해주시기 바랍니다</t>
    </r>
    <r>
      <rPr>
        <sz val="11"/>
        <color rgb="FF000000"/>
        <rFont val="나눔바른고딕"/>
        <family val="3"/>
        <charset val="129"/>
      </rPr>
      <t xml:space="preserve">.)</t>
    </r>
  </si>
  <si>
    <r>
      <rPr>
        <b val="true"/>
        <sz val="18"/>
        <color rgb="FF000000"/>
        <rFont val="나눔바른고딕"/>
        <family val="3"/>
        <charset val="129"/>
      </rPr>
      <t xml:space="preserve">( 7 )</t>
    </r>
    <r>
      <rPr>
        <b val="true"/>
        <sz val="18"/>
        <color rgb="FF000000"/>
        <rFont val="Noto Sans CJK SC"/>
        <family val="2"/>
      </rPr>
      <t xml:space="preserve">월 실적 및 </t>
    </r>
    <r>
      <rPr>
        <b val="true"/>
        <sz val="18"/>
        <color rgb="FF000000"/>
        <rFont val="나눔바른고딕"/>
        <family val="3"/>
        <charset val="129"/>
      </rPr>
      <t xml:space="preserve">( 8 )</t>
    </r>
    <r>
      <rPr>
        <b val="true"/>
        <sz val="18"/>
        <color rgb="FF000000"/>
        <rFont val="Noto Sans CJK SC"/>
        <family val="2"/>
      </rPr>
      <t xml:space="preserve">월 계획보고</t>
    </r>
  </si>
  <si>
    <t xml:space="preserve">1.</t>
  </si>
  <si>
    <t xml:space="preserve">손익현황</t>
  </si>
  <si>
    <t xml:space="preserve">리스트는 다음 6개로 확정</t>
  </si>
  <si>
    <r>
      <rPr>
        <b val="true"/>
        <sz val="12"/>
        <color rgb="FF000000"/>
        <rFont val="나눔바른고딕"/>
        <family val="3"/>
        <charset val="129"/>
      </rPr>
      <t xml:space="preserve">1. </t>
    </r>
    <r>
      <rPr>
        <b val="true"/>
        <sz val="12"/>
        <color rgb="FF000000"/>
        <rFont val="Noto Sans CJK SC"/>
        <family val="2"/>
      </rPr>
      <t xml:space="preserve">손익현황</t>
    </r>
  </si>
  <si>
    <t xml:space="preserve">2.</t>
  </si>
  <si>
    <t xml:space="preserve">재무현황</t>
  </si>
  <si>
    <r>
      <rPr>
        <b val="true"/>
        <sz val="12"/>
        <color rgb="FF000000"/>
        <rFont val="나눔바른고딕"/>
        <family val="3"/>
        <charset val="129"/>
      </rPr>
      <t xml:space="preserve">2. </t>
    </r>
    <r>
      <rPr>
        <b val="true"/>
        <sz val="12"/>
        <color rgb="FF000000"/>
        <rFont val="Noto Sans CJK SC"/>
        <family val="2"/>
      </rPr>
      <t xml:space="preserve">재무현황</t>
    </r>
  </si>
  <si>
    <r>
      <rPr>
        <b val="true"/>
        <sz val="12"/>
        <color rgb="FF000000"/>
        <rFont val="나눔바른고딕"/>
        <family val="3"/>
        <charset val="129"/>
      </rPr>
      <t xml:space="preserve">3. </t>
    </r>
    <r>
      <rPr>
        <b val="true"/>
        <sz val="12"/>
        <color rgb="FF000000"/>
        <rFont val="Noto Sans CJK SC"/>
        <family val="2"/>
      </rPr>
      <t xml:space="preserve">현금흐름현황</t>
    </r>
  </si>
  <si>
    <t xml:space="preserve">3.</t>
  </si>
  <si>
    <t xml:space="preserve">현금흐름 현황</t>
  </si>
  <si>
    <r>
      <rPr>
        <b val="true"/>
        <sz val="12"/>
        <color rgb="FF000000"/>
        <rFont val="나눔바른고딕"/>
        <family val="3"/>
        <charset val="129"/>
      </rPr>
      <t xml:space="preserve">4. </t>
    </r>
    <r>
      <rPr>
        <b val="true"/>
        <sz val="12"/>
        <color rgb="FF000000"/>
        <rFont val="Noto Sans CJK SC"/>
        <family val="2"/>
      </rPr>
      <t xml:space="preserve">인원현황</t>
    </r>
  </si>
  <si>
    <r>
      <rPr>
        <b val="true"/>
        <sz val="12"/>
        <color rgb="FF000000"/>
        <rFont val="나눔바른고딕"/>
        <family val="3"/>
        <charset val="129"/>
      </rPr>
      <t xml:space="preserve">5. </t>
    </r>
    <r>
      <rPr>
        <b val="true"/>
        <sz val="12"/>
        <color rgb="FF000000"/>
        <rFont val="Noto Sans CJK SC"/>
        <family val="2"/>
      </rPr>
      <t xml:space="preserve">투자현황</t>
    </r>
  </si>
  <si>
    <t xml:space="preserve">4.</t>
  </si>
  <si>
    <t xml:space="preserve">인원현황</t>
  </si>
  <si>
    <r>
      <rPr>
        <b val="true"/>
        <sz val="12"/>
        <color rgb="FF000000"/>
        <rFont val="나눔바른고딕"/>
        <family val="3"/>
        <charset val="129"/>
      </rPr>
      <t xml:space="preserve">6. </t>
    </r>
    <r>
      <rPr>
        <b val="true"/>
        <sz val="12"/>
        <color rgb="FF000000"/>
        <rFont val="Noto Sans CJK SC"/>
        <family val="2"/>
      </rPr>
      <t xml:space="preserve">주요업무현황</t>
    </r>
  </si>
  <si>
    <t xml:space="preserve">5.</t>
  </si>
  <si>
    <t xml:space="preserve">투자현황</t>
  </si>
  <si>
    <t xml:space="preserve">주요 도서 출간 현황 / 콘텐츠 작품 리스트 등은 시트명을 [별첨]으로 해주세요.</t>
  </si>
  <si>
    <t xml:space="preserve">6.</t>
  </si>
  <si>
    <t xml:space="preserve">주요업무현황</t>
  </si>
  <si>
    <t xml:space="preserve">날짜 - 자세한 날짜</t>
  </si>
  <si>
    <t xml:space="preserve">주식회사 우리인터텍스</t>
  </si>
  <si>
    <t xml:space="preserve">회사명 기재</t>
  </si>
  <si>
    <r>
      <rPr>
        <b val="true"/>
        <sz val="11"/>
        <color rgb="FF000000"/>
        <rFont val="나눔바른고딕"/>
        <family val="3"/>
        <charset val="129"/>
      </rPr>
      <t xml:space="preserve">(font) </t>
    </r>
    <r>
      <rPr>
        <b val="true"/>
        <sz val="11"/>
        <color rgb="FF000000"/>
        <rFont val="Noto Sans CJK SC"/>
        <family val="2"/>
      </rPr>
      <t xml:space="preserve">나눔바른고딕</t>
    </r>
  </si>
  <si>
    <r>
      <rPr>
        <sz val="11"/>
        <color rgb="FF000000"/>
        <rFont val="나눔바른고딕"/>
        <family val="3"/>
        <charset val="129"/>
      </rPr>
      <t xml:space="preserve">ü </t>
    </r>
    <r>
      <rPr>
        <sz val="11"/>
        <color rgb="FF000000"/>
        <rFont val="Noto Sans CJK SC"/>
        <family val="2"/>
      </rPr>
      <t xml:space="preserve">페이지 레이아웃 설정  </t>
    </r>
    <r>
      <rPr>
        <sz val="11"/>
        <color rgb="FF000000"/>
        <rFont val="나눔바른고딕"/>
        <family val="3"/>
        <charset val="129"/>
      </rPr>
      <t xml:space="preserve">-</t>
    </r>
  </si>
  <si>
    <t xml:space="preserve">너비 [자동], 높이 [자동], 배율 [100%]</t>
  </si>
  <si>
    <r>
      <rPr>
        <sz val="11"/>
        <color rgb="FF000000"/>
        <rFont val="나눔바른고딕"/>
        <family val="3"/>
        <charset val="129"/>
      </rPr>
      <t xml:space="preserve">ü </t>
    </r>
    <r>
      <rPr>
        <sz val="11"/>
        <color rgb="FF000000"/>
        <rFont val="Noto Sans CJK SC"/>
        <family val="2"/>
      </rPr>
      <t xml:space="preserve">여백 설정 </t>
    </r>
    <r>
      <rPr>
        <sz val="11"/>
        <color rgb="FF000000"/>
        <rFont val="나눔바른고딕"/>
        <family val="3"/>
        <charset val="129"/>
      </rPr>
      <t xml:space="preserve">-</t>
    </r>
  </si>
  <si>
    <t xml:space="preserve">    좌, 우 [1.8], 상, 하 [1.9], 머릿글, 바닥글 [0.8]</t>
  </si>
  <si>
    <r>
      <rPr>
        <sz val="11"/>
        <color theme="1"/>
        <rFont val="나눔바른고딕"/>
        <family val="3"/>
        <charset val="129"/>
      </rPr>
      <t xml:space="preserve">ü </t>
    </r>
    <r>
      <rPr>
        <sz val="11"/>
        <color theme="1"/>
        <rFont val="Noto Sans CJK SC"/>
        <family val="2"/>
      </rPr>
      <t xml:space="preserve">페이지 가운데 맞춤 </t>
    </r>
    <r>
      <rPr>
        <sz val="11"/>
        <color theme="1"/>
        <rFont val="나눔바른고딕"/>
        <family val="3"/>
        <charset val="129"/>
      </rPr>
      <t xml:space="preserve">- </t>
    </r>
    <r>
      <rPr>
        <sz val="11"/>
        <color theme="1"/>
        <rFont val="Noto Sans CJK SC"/>
        <family val="2"/>
      </rPr>
      <t xml:space="preserve">가로 </t>
    </r>
    <r>
      <rPr>
        <sz val="11"/>
        <color theme="1"/>
        <rFont val="나눔바른고딕"/>
        <family val="3"/>
        <charset val="129"/>
      </rPr>
      <t xml:space="preserve">[V], </t>
    </r>
    <r>
      <rPr>
        <sz val="11"/>
        <color theme="1"/>
        <rFont val="Noto Sans CJK SC"/>
        <family val="2"/>
      </rPr>
      <t xml:space="preserve">세로 </t>
    </r>
    <r>
      <rPr>
        <sz val="11"/>
        <color theme="1"/>
        <rFont val="나눔바른고딕"/>
        <family val="3"/>
        <charset val="129"/>
      </rPr>
      <t xml:space="preserve">[   ]</t>
    </r>
  </si>
  <si>
    <t xml:space="preserve">담당</t>
  </si>
  <si>
    <t xml:space="preserve">대표이사</t>
  </si>
  <si>
    <t xml:space="preserve">사장</t>
  </si>
  <si>
    <t xml:space="preserve">과목</t>
  </si>
  <si>
    <t xml:space="preserve">합계</t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</si>
  <si>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</si>
  <si>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2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</si>
  <si>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3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</si>
  <si>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4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</si>
  <si>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5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</si>
  <si>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6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</si>
  <si>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7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</si>
  <si>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8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</si>
  <si>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9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</si>
  <si>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10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</si>
  <si>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11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</si>
  <si>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12</t>
    </r>
    <r>
      <rPr>
        <sz val="9"/>
        <color rgb="FF000000"/>
        <rFont val="Noto Sans CJK SC"/>
        <family val="2"/>
      </rPr>
      <t xml:space="preserve">월</t>
    </r>
  </si>
  <si>
    <t xml:space="preserve">당월</t>
  </si>
  <si>
    <t xml:space="preserve">연간누계</t>
  </si>
  <si>
    <r>
      <rPr>
        <sz val="9"/>
        <color rgb="FF000000"/>
        <rFont val="굴림체"/>
        <family val="3"/>
        <charset val="129"/>
      </rPr>
      <t xml:space="preserve">Ⅰ.</t>
    </r>
    <r>
      <rPr>
        <sz val="9"/>
        <color rgb="FF000000"/>
        <rFont val="Noto Sans CJK SC"/>
        <family val="2"/>
      </rPr>
      <t xml:space="preserve">원재료비</t>
    </r>
  </si>
  <si>
    <t xml:space="preserve">    기 초 원재료재고액</t>
  </si>
  <si>
    <t xml:space="preserve">    당 기 원재료매입액</t>
  </si>
  <si>
    <t xml:space="preserve">    기 말 원재료재고액</t>
  </si>
  <si>
    <r>
      <rPr>
        <sz val="9"/>
        <color rgb="FF000000"/>
        <rFont val="굴림체"/>
        <family val="3"/>
        <charset val="129"/>
      </rPr>
      <t xml:space="preserve">Ⅱ.</t>
    </r>
    <r>
      <rPr>
        <sz val="9"/>
        <color rgb="FF000000"/>
        <rFont val="Noto Sans CJK SC"/>
        <family val="2"/>
      </rPr>
      <t xml:space="preserve">부재료비</t>
    </r>
  </si>
  <si>
    <t xml:space="preserve">    기 초 부재료재고액</t>
  </si>
  <si>
    <t xml:space="preserve">    당 기 부재료매입액</t>
  </si>
  <si>
    <t xml:space="preserve">    기 말 부재료재고액</t>
  </si>
  <si>
    <r>
      <rPr>
        <sz val="9"/>
        <color rgb="FF000000"/>
        <rFont val="굴림체"/>
        <family val="3"/>
        <charset val="129"/>
      </rPr>
      <t xml:space="preserve">Ⅲ.</t>
    </r>
    <r>
      <rPr>
        <sz val="9"/>
        <color rgb="FF000000"/>
        <rFont val="Noto Sans CJK SC"/>
        <family val="2"/>
      </rPr>
      <t xml:space="preserve">노무비</t>
    </r>
  </si>
  <si>
    <t xml:space="preserve">    잡              급</t>
  </si>
  <si>
    <r>
      <rPr>
        <sz val="9"/>
        <color rgb="FF000000"/>
        <rFont val="굴림체"/>
        <family val="3"/>
        <charset val="129"/>
      </rPr>
      <t xml:space="preserve">Ⅳ.</t>
    </r>
    <r>
      <rPr>
        <sz val="9"/>
        <color rgb="FF000000"/>
        <rFont val="Noto Sans CJK SC"/>
        <family val="2"/>
      </rPr>
      <t xml:space="preserve">경비</t>
    </r>
  </si>
  <si>
    <t xml:space="preserve">    복  리  후  생  비</t>
  </si>
  <si>
    <t xml:space="preserve">    지  급  임  차  료</t>
  </si>
  <si>
    <t xml:space="preserve">    운      반      비</t>
  </si>
  <si>
    <t xml:space="preserve">    지  급  수  수  료</t>
  </si>
  <si>
    <t xml:space="preserve">    외  주  가  공  비</t>
  </si>
  <si>
    <t xml:space="preserve">    외      주      비</t>
  </si>
  <si>
    <t xml:space="preserve">    개 발 및  그레이딩</t>
  </si>
  <si>
    <r>
      <rPr>
        <sz val="9"/>
        <color rgb="FF000000"/>
        <rFont val="굴림체"/>
        <family val="3"/>
        <charset val="129"/>
      </rPr>
      <t xml:space="preserve">Ⅴ.</t>
    </r>
    <r>
      <rPr>
        <sz val="9"/>
        <color rgb="FF000000"/>
        <rFont val="Noto Sans CJK SC"/>
        <family val="2"/>
      </rPr>
      <t xml:space="preserve">당기총제조비용</t>
    </r>
  </si>
  <si>
    <r>
      <rPr>
        <sz val="9"/>
        <color rgb="FF000000"/>
        <rFont val="굴림체"/>
        <family val="3"/>
        <charset val="129"/>
      </rPr>
      <t xml:space="preserve">Ⅵ.</t>
    </r>
    <r>
      <rPr>
        <sz val="9"/>
        <color rgb="FF000000"/>
        <rFont val="Noto Sans CJK SC"/>
        <family val="2"/>
      </rPr>
      <t xml:space="preserve">기초재공품재고액</t>
    </r>
  </si>
  <si>
    <r>
      <rPr>
        <sz val="9"/>
        <color rgb="FF000000"/>
        <rFont val="굴림체"/>
        <family val="3"/>
        <charset val="129"/>
      </rPr>
      <t xml:space="preserve">Ⅶ.</t>
    </r>
    <r>
      <rPr>
        <sz val="9"/>
        <color rgb="FF000000"/>
        <rFont val="Noto Sans CJK SC"/>
        <family val="2"/>
      </rPr>
      <t xml:space="preserve">타계정에서 대체액</t>
    </r>
  </si>
  <si>
    <r>
      <rPr>
        <sz val="9"/>
        <color rgb="FF000000"/>
        <rFont val="굴림체"/>
        <family val="3"/>
        <charset val="129"/>
      </rPr>
      <t xml:space="preserve">Ⅷ.</t>
    </r>
    <r>
      <rPr>
        <sz val="9"/>
        <color rgb="FF000000"/>
        <rFont val="Noto Sans CJK SC"/>
        <family val="2"/>
      </rPr>
      <t xml:space="preserve">합계</t>
    </r>
  </si>
  <si>
    <r>
      <rPr>
        <sz val="9"/>
        <color rgb="FF000000"/>
        <rFont val="굴림체"/>
        <family val="3"/>
        <charset val="129"/>
      </rPr>
      <t xml:space="preserve">Ⅸ.</t>
    </r>
    <r>
      <rPr>
        <sz val="9"/>
        <color rgb="FF000000"/>
        <rFont val="Noto Sans CJK SC"/>
        <family val="2"/>
      </rPr>
      <t xml:space="preserve">기말재공품재고액</t>
    </r>
  </si>
  <si>
    <r>
      <rPr>
        <sz val="9"/>
        <color rgb="FF000000"/>
        <rFont val="굴림체"/>
        <family val="3"/>
        <charset val="129"/>
      </rPr>
      <t xml:space="preserve">Ⅹ.</t>
    </r>
    <r>
      <rPr>
        <sz val="9"/>
        <color rgb="FF000000"/>
        <rFont val="Noto Sans CJK SC"/>
        <family val="2"/>
      </rPr>
      <t xml:space="preserve">타계정으로 대체액</t>
    </r>
  </si>
  <si>
    <r>
      <rPr>
        <sz val="9"/>
        <color rgb="FF000000"/>
        <rFont val="굴림체"/>
        <family val="3"/>
        <charset val="129"/>
      </rPr>
      <t xml:space="preserve">ⅩⅠ.</t>
    </r>
    <r>
      <rPr>
        <sz val="9"/>
        <color rgb="FF000000"/>
        <rFont val="Noto Sans CJK SC"/>
        <family val="2"/>
      </rPr>
      <t xml:space="preserve">당기제품제조원가</t>
    </r>
  </si>
  <si>
    <r>
      <rPr>
        <sz val="9"/>
        <color rgb="FF000000"/>
        <rFont val="굴림체"/>
        <family val="3"/>
        <charset val="129"/>
      </rPr>
      <t xml:space="preserve"> Ⅰ. </t>
    </r>
    <r>
      <rPr>
        <sz val="9"/>
        <color rgb="FF000000"/>
        <rFont val="Noto Sans CJK SC"/>
        <family val="2"/>
      </rPr>
      <t xml:space="preserve">매         출        액</t>
    </r>
  </si>
  <si>
    <t xml:space="preserve">    상    품   매   출</t>
  </si>
  <si>
    <t xml:space="preserve">    제    품   매   출</t>
  </si>
  <si>
    <t xml:space="preserve">    수    출   매   출</t>
  </si>
  <si>
    <t xml:space="preserve">    기    타   매   출</t>
  </si>
  <si>
    <r>
      <rPr>
        <sz val="9"/>
        <color rgb="FF000000"/>
        <rFont val="굴림체"/>
        <family val="3"/>
        <charset val="129"/>
      </rPr>
      <t xml:space="preserve"> Ⅱ. </t>
    </r>
    <r>
      <rPr>
        <sz val="9"/>
        <color rgb="FF000000"/>
        <rFont val="Noto Sans CJK SC"/>
        <family val="2"/>
      </rPr>
      <t xml:space="preserve">매     출     원     가</t>
    </r>
  </si>
  <si>
    <t xml:space="preserve">    상  품 매 출 원 가</t>
  </si>
  <si>
    <t xml:space="preserve">    기 초 상 품 재고액</t>
  </si>
  <si>
    <t xml:space="preserve">    당 기 상 품 매입액</t>
  </si>
  <si>
    <t xml:space="preserve">    재고자산 평가 손실</t>
  </si>
  <si>
    <t xml:space="preserve">    기 말 상 품 재고액</t>
  </si>
  <si>
    <t xml:space="preserve">    제  품 매 출 원 가</t>
  </si>
  <si>
    <t xml:space="preserve">    기 초 제 품 재고액</t>
  </si>
  <si>
    <t xml:space="preserve">    당 기 제품제조원가</t>
  </si>
  <si>
    <t xml:space="preserve">    기 말 제 품 재고액</t>
  </si>
  <si>
    <r>
      <rPr>
        <sz val="9"/>
        <color rgb="FF000000"/>
        <rFont val="굴림체"/>
        <family val="3"/>
        <charset val="129"/>
      </rPr>
      <t xml:space="preserve"> Ⅲ. </t>
    </r>
    <r>
      <rPr>
        <sz val="9"/>
        <color rgb="FF000000"/>
        <rFont val="Noto Sans CJK SC"/>
        <family val="2"/>
      </rPr>
      <t xml:space="preserve">매    출   총   이   익</t>
    </r>
  </si>
  <si>
    <r>
      <rPr>
        <sz val="9"/>
        <color rgb="FF000000"/>
        <rFont val="굴림체"/>
        <family val="3"/>
        <charset val="129"/>
      </rPr>
      <t xml:space="preserve"> Ⅳ. </t>
    </r>
    <r>
      <rPr>
        <sz val="9"/>
        <color rgb="FF000000"/>
        <rFont val="Noto Sans CJK SC"/>
        <family val="2"/>
      </rPr>
      <t xml:space="preserve">판  매  비  와 관 리 비</t>
    </r>
  </si>
  <si>
    <t xml:space="preserve">    직    원   급   여</t>
  </si>
  <si>
    <t xml:space="preserve">    상      여      금</t>
  </si>
  <si>
    <t xml:space="preserve">    퇴    직   급   여</t>
  </si>
  <si>
    <t xml:space="preserve">    여  비  교  통  비</t>
  </si>
  <si>
    <t xml:space="preserve">    접      대      비</t>
  </si>
  <si>
    <t xml:space="preserve">    통      신      비</t>
  </si>
  <si>
    <t xml:space="preserve">    전      력      비</t>
  </si>
  <si>
    <t xml:space="preserve">    세  금 과 공 과 금</t>
  </si>
  <si>
    <t xml:space="preserve">    감  가  상  각  비</t>
  </si>
  <si>
    <t xml:space="preserve">    보      험      료</t>
  </si>
  <si>
    <t xml:space="preserve">    차  량  유  지  비</t>
  </si>
  <si>
    <t xml:space="preserve">    소    모   품   비</t>
  </si>
  <si>
    <t xml:space="preserve">    광  고  선  전  비</t>
  </si>
  <si>
    <t xml:space="preserve">    외  주  위  탁  비</t>
  </si>
  <si>
    <t xml:space="preserve">휴맥스 운반비</t>
  </si>
  <si>
    <t xml:space="preserve">    대  손  상  각  비</t>
  </si>
  <si>
    <t xml:space="preserve">    외  주  용  역  비</t>
  </si>
  <si>
    <r>
      <rPr>
        <sz val="9"/>
        <color rgb="FF000000"/>
        <rFont val="굴림체"/>
        <family val="3"/>
        <charset val="129"/>
      </rPr>
      <t xml:space="preserve"> Ⅴ. </t>
    </r>
    <r>
      <rPr>
        <sz val="9"/>
        <color rgb="FF000000"/>
        <rFont val="Noto Sans CJK SC"/>
        <family val="2"/>
      </rPr>
      <t xml:space="preserve">영     업     이     익</t>
    </r>
  </si>
  <si>
    <r>
      <rPr>
        <sz val="9"/>
        <color rgb="FF000000"/>
        <rFont val="굴림체"/>
        <family val="3"/>
        <charset val="129"/>
      </rPr>
      <t xml:space="preserve"> Ⅵ. </t>
    </r>
    <r>
      <rPr>
        <sz val="9"/>
        <color rgb="FF000000"/>
        <rFont val="Noto Sans CJK SC"/>
        <family val="2"/>
      </rPr>
      <t xml:space="preserve">영    업   외   수   익</t>
    </r>
  </si>
  <si>
    <t xml:space="preserve">    이    자   수   익</t>
  </si>
  <si>
    <t xml:space="preserve">    외    환   차   익</t>
  </si>
  <si>
    <t xml:space="preserve">대손충당금환입</t>
  </si>
  <si>
    <t xml:space="preserve">    지분법적용투자주식처분이익</t>
  </si>
  <si>
    <t xml:space="preserve">    잡      이      익</t>
  </si>
  <si>
    <r>
      <rPr>
        <sz val="9"/>
        <color rgb="FF000000"/>
        <rFont val="굴림체"/>
        <family val="3"/>
        <charset val="129"/>
      </rPr>
      <t xml:space="preserve"> Ⅶ. </t>
    </r>
    <r>
      <rPr>
        <sz val="9"/>
        <color rgb="FF000000"/>
        <rFont val="Noto Sans CJK SC"/>
        <family val="2"/>
      </rPr>
      <t xml:space="preserve">영    업   외   비   용</t>
    </r>
  </si>
  <si>
    <t xml:space="preserve">    이    자   비   용</t>
  </si>
  <si>
    <t xml:space="preserve">    외    환   차   손</t>
  </si>
  <si>
    <t xml:space="preserve">    외 화 환 산 손 실</t>
  </si>
  <si>
    <t xml:space="preserve">    유 형 자산처분손실</t>
  </si>
  <si>
    <t xml:space="preserve">    잡      손      실</t>
  </si>
  <si>
    <r>
      <rPr>
        <sz val="9"/>
        <color rgb="FF000000"/>
        <rFont val="굴림체"/>
        <family val="3"/>
        <charset val="129"/>
      </rPr>
      <t xml:space="preserve"> Ⅷ. </t>
    </r>
    <r>
      <rPr>
        <sz val="9"/>
        <color rgb="FF000000"/>
        <rFont val="Noto Sans CJK SC"/>
        <family val="2"/>
      </rPr>
      <t xml:space="preserve">법 인 세 차 감 전 이 익</t>
    </r>
  </si>
  <si>
    <r>
      <rPr>
        <sz val="9"/>
        <color rgb="FF000000"/>
        <rFont val="굴림체"/>
        <family val="3"/>
        <charset val="129"/>
      </rPr>
      <t xml:space="preserve"> Ⅸ. </t>
    </r>
    <r>
      <rPr>
        <sz val="9"/>
        <color rgb="FF000000"/>
        <rFont val="Noto Sans CJK SC"/>
        <family val="2"/>
      </rPr>
      <t xml:space="preserve">법     인     세     등</t>
    </r>
  </si>
  <si>
    <r>
      <rPr>
        <sz val="9"/>
        <color rgb="FF000000"/>
        <rFont val="굴림체"/>
        <family val="3"/>
        <charset val="129"/>
      </rPr>
      <t xml:space="preserve"> Ⅹ. </t>
    </r>
    <r>
      <rPr>
        <sz val="9"/>
        <color rgb="FF000000"/>
        <rFont val="Noto Sans CJK SC"/>
        <family val="2"/>
      </rPr>
      <t xml:space="preserve">당    기   순   이   익</t>
    </r>
  </si>
  <si>
    <t xml:space="preserve">인건비</t>
  </si>
  <si>
    <t xml:space="preserve">간접인건비</t>
  </si>
  <si>
    <t xml:space="preserve">관리비</t>
  </si>
  <si>
    <t xml:space="preserve">감가상각비</t>
  </si>
  <si>
    <t xml:space="preserve">제 28(당)기[2026/01/01 ~ 2026/07/31]</t>
  </si>
  <si>
    <t xml:space="preserve">제 27(전)기[2025/01/01 ~ 2025/12/31]</t>
  </si>
  <si>
    <t xml:space="preserve">금              액</t>
  </si>
  <si>
    <t xml:space="preserve">  자                        산</t>
  </si>
  <si>
    <r>
      <rPr>
        <sz val="11"/>
        <color rgb="FF000000"/>
        <rFont val="나눔바른고딕"/>
        <family val="3"/>
        <charset val="129"/>
      </rPr>
      <t xml:space="preserve">   Ⅰ. </t>
    </r>
    <r>
      <rPr>
        <sz val="11"/>
        <color rgb="FF000000"/>
        <rFont val="Noto Sans CJK SC"/>
        <family val="2"/>
      </rPr>
      <t xml:space="preserve">유     동     자     산</t>
    </r>
  </si>
  <si>
    <r>
      <rPr>
        <sz val="10"/>
        <color rgb="FF000000"/>
        <rFont val="나눔바른고딕"/>
        <family val="3"/>
        <charset val="129"/>
      </rPr>
      <t xml:space="preserve">   Ⅰ. </t>
    </r>
    <r>
      <rPr>
        <sz val="10"/>
        <color rgb="FF000000"/>
        <rFont val="Noto Sans CJK SC"/>
        <family val="2"/>
      </rPr>
      <t xml:space="preserve">유     동     자     산</t>
    </r>
  </si>
  <si>
    <r>
      <rPr>
        <sz val="11"/>
        <color rgb="FF000000"/>
        <rFont val="나눔바른고딕"/>
        <family val="3"/>
        <charset val="129"/>
      </rPr>
      <t xml:space="preserve">      (1) </t>
    </r>
    <r>
      <rPr>
        <sz val="11"/>
        <color rgb="FF000000"/>
        <rFont val="Noto Sans CJK SC"/>
        <family val="2"/>
      </rPr>
      <t xml:space="preserve">당    좌    자    산</t>
    </r>
  </si>
  <si>
    <r>
      <rPr>
        <sz val="10"/>
        <color rgb="FF000000"/>
        <rFont val="나눔바른고딕"/>
        <family val="3"/>
        <charset val="129"/>
      </rPr>
      <t xml:space="preserve">      (1) </t>
    </r>
    <r>
      <rPr>
        <sz val="10"/>
        <color rgb="FF000000"/>
        <rFont val="Noto Sans CJK SC"/>
        <family val="2"/>
      </rPr>
      <t xml:space="preserve">당    좌    자    산</t>
    </r>
  </si>
  <si>
    <t xml:space="preserve">       현                   금</t>
  </si>
  <si>
    <t xml:space="preserve">       보     통     예     금</t>
  </si>
  <si>
    <t xml:space="preserve">       외   화  보  통  예  금</t>
  </si>
  <si>
    <t xml:space="preserve">         정    기    예    적    금</t>
  </si>
  <si>
    <t xml:space="preserve">       외    상   매   출   금</t>
  </si>
  <si>
    <t xml:space="preserve">       단    기   대   여   금</t>
  </si>
  <si>
    <t xml:space="preserve">       미     수     수     익</t>
  </si>
  <si>
    <t xml:space="preserve">       미         수        금</t>
  </si>
  <si>
    <t xml:space="preserve">       계         약        금</t>
  </si>
  <si>
    <t xml:space="preserve">       선         급        금</t>
  </si>
  <si>
    <t xml:space="preserve">       선     급     비     용</t>
  </si>
  <si>
    <t xml:space="preserve">       부   가  세  대  급  금</t>
  </si>
  <si>
    <t xml:space="preserve">       선     납     세     금</t>
  </si>
  <si>
    <r>
      <rPr>
        <sz val="11"/>
        <color rgb="FF000000"/>
        <rFont val="나눔바른고딕"/>
        <family val="3"/>
        <charset val="129"/>
      </rPr>
      <t xml:space="preserve">      (2) </t>
    </r>
    <r>
      <rPr>
        <sz val="11"/>
        <color rgb="FF000000"/>
        <rFont val="Noto Sans CJK SC"/>
        <family val="2"/>
      </rPr>
      <t xml:space="preserve">재    고    자    산</t>
    </r>
  </si>
  <si>
    <r>
      <rPr>
        <sz val="10"/>
        <color rgb="FF000000"/>
        <rFont val="나눔바른고딕"/>
        <family val="3"/>
        <charset val="129"/>
      </rPr>
      <t xml:space="preserve">      (2) </t>
    </r>
    <r>
      <rPr>
        <sz val="10"/>
        <color rgb="FF000000"/>
        <rFont val="Noto Sans CJK SC"/>
        <family val="2"/>
      </rPr>
      <t xml:space="preserve">재    고    자    산</t>
    </r>
  </si>
  <si>
    <t xml:space="preserve">       상                   품</t>
  </si>
  <si>
    <t xml:space="preserve">       제                   품</t>
  </si>
  <si>
    <t xml:space="preserve">       원         재        료</t>
  </si>
  <si>
    <t xml:space="preserve">       부         재        료</t>
  </si>
  <si>
    <r>
      <rPr>
        <sz val="11"/>
        <color rgb="FF000000"/>
        <rFont val="나눔바른고딕"/>
        <family val="3"/>
        <charset val="129"/>
      </rPr>
      <t xml:space="preserve">   Ⅱ. </t>
    </r>
    <r>
      <rPr>
        <sz val="11"/>
        <color rgb="FF000000"/>
        <rFont val="Noto Sans CJK SC"/>
        <family val="2"/>
      </rPr>
      <t xml:space="preserve">비    유   동   자   산</t>
    </r>
  </si>
  <si>
    <r>
      <rPr>
        <sz val="10"/>
        <color rgb="FF000000"/>
        <rFont val="나눔바른고딕"/>
        <family val="3"/>
        <charset val="129"/>
      </rPr>
      <t xml:space="preserve">   Ⅱ. </t>
    </r>
    <r>
      <rPr>
        <sz val="10"/>
        <color rgb="FF000000"/>
        <rFont val="Noto Sans CJK SC"/>
        <family val="2"/>
      </rPr>
      <t xml:space="preserve">비    유   동   자   산</t>
    </r>
  </si>
  <si>
    <r>
      <rPr>
        <sz val="11"/>
        <color rgb="FF000000"/>
        <rFont val="나눔바른고딕"/>
        <family val="3"/>
        <charset val="129"/>
      </rPr>
      <t xml:space="preserve">      (1) </t>
    </r>
    <r>
      <rPr>
        <sz val="11"/>
        <color rgb="FF000000"/>
        <rFont val="Noto Sans CJK SC"/>
        <family val="2"/>
      </rPr>
      <t xml:space="preserve">투    자    자    산</t>
    </r>
  </si>
  <si>
    <r>
      <rPr>
        <sz val="10"/>
        <color rgb="FF000000"/>
        <rFont val="나눔바른고딕"/>
        <family val="3"/>
        <charset val="129"/>
      </rPr>
      <t xml:space="preserve">      (1) </t>
    </r>
    <r>
      <rPr>
        <sz val="10"/>
        <color rgb="FF000000"/>
        <rFont val="Noto Sans CJK SC"/>
        <family val="2"/>
      </rPr>
      <t xml:space="preserve">투    자    자    산</t>
    </r>
  </si>
  <si>
    <t xml:space="preserve">       매   도  가  능  증  권</t>
  </si>
  <si>
    <t xml:space="preserve">       지 분 법 적 용 투자주식</t>
  </si>
  <si>
    <t xml:space="preserve">       퇴  직  보  험 예 치 금</t>
  </si>
  <si>
    <r>
      <rPr>
        <sz val="11"/>
        <color rgb="FF000000"/>
        <rFont val="나눔바른고딕"/>
        <family val="3"/>
        <charset val="129"/>
      </rPr>
      <t xml:space="preserve">      (2) </t>
    </r>
    <r>
      <rPr>
        <sz val="11"/>
        <color rgb="FF000000"/>
        <rFont val="Noto Sans CJK SC"/>
        <family val="2"/>
      </rPr>
      <t xml:space="preserve">유    형    자    산</t>
    </r>
  </si>
  <si>
    <r>
      <rPr>
        <sz val="10"/>
        <color rgb="FF000000"/>
        <rFont val="나눔바른고딕"/>
        <family val="3"/>
        <charset val="129"/>
      </rPr>
      <t xml:space="preserve">      (2) </t>
    </r>
    <r>
      <rPr>
        <sz val="10"/>
        <color rgb="FF000000"/>
        <rFont val="Noto Sans CJK SC"/>
        <family val="2"/>
      </rPr>
      <t xml:space="preserve">유    형    자    산</t>
    </r>
  </si>
  <si>
    <t xml:space="preserve">       기     계     장     치</t>
  </si>
  <si>
    <t xml:space="preserve">       감  가  상  각 누 계 액</t>
  </si>
  <si>
    <t xml:space="preserve">       차    량   운   반   구</t>
  </si>
  <si>
    <t xml:space="preserve">       비                   품</t>
  </si>
  <si>
    <t xml:space="preserve">       시     설     장     치</t>
  </si>
  <si>
    <r>
      <rPr>
        <sz val="11"/>
        <color rgb="FF000000"/>
        <rFont val="나눔바른고딕"/>
        <family val="3"/>
        <charset val="129"/>
      </rPr>
      <t xml:space="preserve">      (3) </t>
    </r>
    <r>
      <rPr>
        <sz val="11"/>
        <color rgb="FF000000"/>
        <rFont val="Noto Sans CJK SC"/>
        <family val="2"/>
      </rPr>
      <t xml:space="preserve">무    형    자    산</t>
    </r>
  </si>
  <si>
    <r>
      <rPr>
        <sz val="10"/>
        <color rgb="FF000000"/>
        <rFont val="나눔바른고딕"/>
        <family val="3"/>
        <charset val="129"/>
      </rPr>
      <t xml:space="preserve">      (3) </t>
    </r>
    <r>
      <rPr>
        <sz val="10"/>
        <color rgb="FF000000"/>
        <rFont val="Noto Sans CJK SC"/>
        <family val="2"/>
      </rPr>
      <t xml:space="preserve">무    형    자    산</t>
    </r>
  </si>
  <si>
    <t xml:space="preserve">       특         허        권</t>
  </si>
  <si>
    <t xml:space="preserve">       개         발        비</t>
  </si>
  <si>
    <r>
      <rPr>
        <sz val="11"/>
        <color rgb="FF000000"/>
        <rFont val="나눔바른고딕"/>
        <family val="3"/>
        <charset val="129"/>
      </rPr>
      <t xml:space="preserve">      (4) </t>
    </r>
    <r>
      <rPr>
        <sz val="11"/>
        <color rgb="FF000000"/>
        <rFont val="Noto Sans CJK SC"/>
        <family val="2"/>
      </rPr>
      <t xml:space="preserve">기 타 비 유 동 자 산</t>
    </r>
  </si>
  <si>
    <r>
      <rPr>
        <sz val="10"/>
        <color rgb="FF000000"/>
        <rFont val="나눔바른고딕"/>
        <family val="3"/>
        <charset val="129"/>
      </rPr>
      <t xml:space="preserve">      (4) </t>
    </r>
    <r>
      <rPr>
        <sz val="10"/>
        <color rgb="FF000000"/>
        <rFont val="Noto Sans CJK SC"/>
        <family val="2"/>
      </rPr>
      <t xml:space="preserve">기 타 비 유 동 자 산</t>
    </r>
  </si>
  <si>
    <t xml:space="preserve">       임    차   보   증   금</t>
  </si>
  <si>
    <t xml:space="preserve">       기    타   보   증   금</t>
  </si>
  <si>
    <t xml:space="preserve">       회     생     채     권</t>
  </si>
  <si>
    <t xml:space="preserve">       전  신  전  화 가 입 권</t>
  </si>
  <si>
    <t xml:space="preserve">  자       산       총      계</t>
  </si>
  <si>
    <t xml:space="preserve">  부                        채</t>
  </si>
  <si>
    <r>
      <rPr>
        <sz val="11"/>
        <color rgb="FF000000"/>
        <rFont val="나눔바른고딕"/>
        <family val="3"/>
        <charset val="129"/>
      </rPr>
      <t xml:space="preserve">   Ⅰ. </t>
    </r>
    <r>
      <rPr>
        <sz val="11"/>
        <color rgb="FF000000"/>
        <rFont val="Noto Sans CJK SC"/>
        <family val="2"/>
      </rPr>
      <t xml:space="preserve">유     동     부     채</t>
    </r>
  </si>
  <si>
    <r>
      <rPr>
        <sz val="10"/>
        <color rgb="FF000000"/>
        <rFont val="나눔바른고딕"/>
        <family val="3"/>
        <charset val="129"/>
      </rPr>
      <t xml:space="preserve">   Ⅰ. </t>
    </r>
    <r>
      <rPr>
        <sz val="10"/>
        <color rgb="FF000000"/>
        <rFont val="Noto Sans CJK SC"/>
        <family val="2"/>
      </rPr>
      <t xml:space="preserve">유     동     부     채</t>
    </r>
  </si>
  <si>
    <t xml:space="preserve">       외    상   매   입   금</t>
  </si>
  <si>
    <t xml:space="preserve">       지     급     어     음</t>
  </si>
  <si>
    <t xml:space="preserve">       미     지     급     금</t>
  </si>
  <si>
    <t xml:space="preserve">       예         수        금</t>
  </si>
  <si>
    <t xml:space="preserve">       부   가  세  예  수  금</t>
  </si>
  <si>
    <t xml:space="preserve">          선     수     금</t>
  </si>
  <si>
    <t xml:space="preserve">       단    기   차   입   금</t>
  </si>
  <si>
    <t xml:space="preserve">       미    지    급    세    금</t>
  </si>
  <si>
    <t xml:space="preserve">       미    지   급   비   용</t>
  </si>
  <si>
    <t xml:space="preserve">       유 동 성 장 기 부 채</t>
  </si>
  <si>
    <r>
      <rPr>
        <sz val="11"/>
        <color rgb="FF000000"/>
        <rFont val="나눔바른고딕"/>
        <family val="3"/>
        <charset val="129"/>
      </rPr>
      <t xml:space="preserve">   Ⅱ. </t>
    </r>
    <r>
      <rPr>
        <sz val="11"/>
        <color rgb="FF000000"/>
        <rFont val="Noto Sans CJK SC"/>
        <family val="2"/>
      </rPr>
      <t xml:space="preserve">비    유   동   부   채</t>
    </r>
  </si>
  <si>
    <r>
      <rPr>
        <sz val="10"/>
        <color rgb="FF000000"/>
        <rFont val="나눔바른고딕"/>
        <family val="3"/>
        <charset val="129"/>
      </rPr>
      <t xml:space="preserve">   Ⅱ. </t>
    </r>
    <r>
      <rPr>
        <sz val="10"/>
        <color rgb="FF000000"/>
        <rFont val="Noto Sans CJK SC"/>
        <family val="2"/>
      </rPr>
      <t xml:space="preserve">비    유   동   부   채</t>
    </r>
  </si>
  <si>
    <t xml:space="preserve">       장    기   차   입   금</t>
  </si>
  <si>
    <t xml:space="preserve">  부       채       총      계</t>
  </si>
  <si>
    <t xml:space="preserve">  자                        본</t>
  </si>
  <si>
    <r>
      <rPr>
        <sz val="11"/>
        <color rgb="FF000000"/>
        <rFont val="나눔바른고딕"/>
        <family val="3"/>
        <charset val="129"/>
      </rPr>
      <t xml:space="preserve">   Ⅰ. </t>
    </r>
    <r>
      <rPr>
        <sz val="11"/>
        <color rgb="FF000000"/>
        <rFont val="Noto Sans CJK SC"/>
        <family val="2"/>
      </rPr>
      <t xml:space="preserve">자         본        금</t>
    </r>
  </si>
  <si>
    <r>
      <rPr>
        <sz val="10"/>
        <color rgb="FF000000"/>
        <rFont val="나눔바른고딕"/>
        <family val="3"/>
        <charset val="129"/>
      </rPr>
      <t xml:space="preserve">   Ⅰ. </t>
    </r>
    <r>
      <rPr>
        <sz val="10"/>
        <color rgb="FF000000"/>
        <rFont val="Noto Sans CJK SC"/>
        <family val="2"/>
      </rPr>
      <t xml:space="preserve">자         본        금</t>
    </r>
  </si>
  <si>
    <t xml:space="preserve">       자         본        금</t>
  </si>
  <si>
    <r>
      <rPr>
        <sz val="11"/>
        <color rgb="FF000000"/>
        <rFont val="나눔바른고딕"/>
        <family val="3"/>
        <charset val="129"/>
      </rPr>
      <t xml:space="preserve">   Ⅱ. </t>
    </r>
    <r>
      <rPr>
        <sz val="11"/>
        <color rgb="FF000000"/>
        <rFont val="Noto Sans CJK SC"/>
        <family val="2"/>
      </rPr>
      <t xml:space="preserve">자    본   잉   여   금</t>
    </r>
  </si>
  <si>
    <r>
      <rPr>
        <sz val="10"/>
        <color rgb="FF000000"/>
        <rFont val="나눔바른고딕"/>
        <family val="3"/>
        <charset val="129"/>
      </rPr>
      <t xml:space="preserve">   Ⅱ. </t>
    </r>
    <r>
      <rPr>
        <sz val="10"/>
        <color rgb="FF000000"/>
        <rFont val="Noto Sans CJK SC"/>
        <family val="2"/>
      </rPr>
      <t xml:space="preserve">자    본   잉   여   금</t>
    </r>
  </si>
  <si>
    <t xml:space="preserve">       기  타  자  본  잉  여  금</t>
  </si>
  <si>
    <r>
      <rPr>
        <sz val="11"/>
        <color rgb="FF000000"/>
        <rFont val="나눔바른고딕"/>
        <family val="3"/>
        <charset val="129"/>
      </rPr>
      <t xml:space="preserve">   Ⅲ. </t>
    </r>
    <r>
      <rPr>
        <sz val="11"/>
        <color rgb="FF000000"/>
        <rFont val="Noto Sans CJK SC"/>
        <family val="2"/>
      </rPr>
      <t xml:space="preserve">자     본     조     정</t>
    </r>
  </si>
  <si>
    <r>
      <rPr>
        <sz val="10"/>
        <color rgb="FF000000"/>
        <rFont val="나눔바른고딕"/>
        <family val="3"/>
        <charset val="129"/>
      </rPr>
      <t xml:space="preserve">   Ⅲ. </t>
    </r>
    <r>
      <rPr>
        <sz val="10"/>
        <color rgb="FF000000"/>
        <rFont val="Noto Sans CJK SC"/>
        <family val="2"/>
      </rPr>
      <t xml:space="preserve">자     본     조     정</t>
    </r>
  </si>
  <si>
    <t xml:space="preserve">       주  식  할  인  발  행  차  금</t>
  </si>
  <si>
    <r>
      <rPr>
        <sz val="11"/>
        <color rgb="FF000000"/>
        <rFont val="나눔바른고딕"/>
        <family val="3"/>
        <charset val="129"/>
      </rPr>
      <t xml:space="preserve">   Ⅳ. </t>
    </r>
    <r>
      <rPr>
        <sz val="11"/>
        <color rgb="FF000000"/>
        <rFont val="Noto Sans CJK SC"/>
        <family val="2"/>
      </rPr>
      <t xml:space="preserve">기 타 포 괄 손 익누계액</t>
    </r>
  </si>
  <si>
    <r>
      <rPr>
        <sz val="10"/>
        <color rgb="FF000000"/>
        <rFont val="나눔바른고딕"/>
        <family val="3"/>
        <charset val="129"/>
      </rPr>
      <t xml:space="preserve">   Ⅳ. </t>
    </r>
    <r>
      <rPr>
        <sz val="10"/>
        <color rgb="FF000000"/>
        <rFont val="Noto Sans CJK SC"/>
        <family val="2"/>
      </rPr>
      <t xml:space="preserve">기 타 포 괄 손 익누계액</t>
    </r>
  </si>
  <si>
    <t xml:space="preserve">       지분법 자본변동</t>
  </si>
  <si>
    <r>
      <rPr>
        <sz val="11"/>
        <color rgb="FF000000"/>
        <rFont val="나눔바른고딕"/>
        <family val="3"/>
        <charset val="129"/>
      </rPr>
      <t xml:space="preserve">   Ⅴ.</t>
    </r>
    <r>
      <rPr>
        <sz val="11"/>
        <color rgb="FF000000"/>
        <rFont val="Noto Sans CJK SC"/>
        <family val="2"/>
      </rPr>
      <t xml:space="preserve">이익잉여금</t>
    </r>
  </si>
  <si>
    <r>
      <rPr>
        <sz val="10"/>
        <color rgb="FF000000"/>
        <rFont val="나눔바른고딕"/>
        <family val="3"/>
        <charset val="129"/>
      </rPr>
      <t xml:space="preserve">   Ⅴ.</t>
    </r>
    <r>
      <rPr>
        <sz val="10"/>
        <color rgb="FF000000"/>
        <rFont val="Noto Sans CJK SC"/>
        <family val="2"/>
      </rPr>
      <t xml:space="preserve">이익잉여금</t>
    </r>
  </si>
  <si>
    <t xml:space="preserve">       미처리결손금</t>
  </si>
  <si>
    <r>
      <rPr>
        <sz val="11"/>
        <color rgb="FF000000"/>
        <rFont val="나눔바른고딕"/>
        <family val="3"/>
        <charset val="129"/>
      </rPr>
      <t xml:space="preserve">    (   </t>
    </r>
    <r>
      <rPr>
        <sz val="11"/>
        <color rgb="FF000000"/>
        <rFont val="Noto Sans CJK SC"/>
        <family val="2"/>
      </rPr>
      <t xml:space="preserve">당   기  순  손  실  </t>
    </r>
    <r>
      <rPr>
        <sz val="11"/>
        <color rgb="FF000000"/>
        <rFont val="나눔바른고딕"/>
        <family val="3"/>
        <charset val="129"/>
      </rPr>
      <t xml:space="preserve">)</t>
    </r>
  </si>
  <si>
    <r>
      <rPr>
        <sz val="10"/>
        <color rgb="FF000000"/>
        <rFont val="나눔바른고딕"/>
        <family val="3"/>
        <charset val="129"/>
      </rPr>
      <t xml:space="preserve">    (   </t>
    </r>
    <r>
      <rPr>
        <sz val="10"/>
        <color rgb="FF000000"/>
        <rFont val="Noto Sans CJK SC"/>
        <family val="2"/>
      </rPr>
      <t xml:space="preserve">당   기  순  손  실  </t>
    </r>
    <r>
      <rPr>
        <sz val="10"/>
        <color rgb="FF000000"/>
        <rFont val="나눔바른고딕"/>
        <family val="3"/>
        <charset val="129"/>
      </rPr>
      <t xml:space="preserve">)</t>
    </r>
  </si>
  <si>
    <t xml:space="preserve">  자       본       총      계</t>
  </si>
  <si>
    <t xml:space="preserve">  부   채   및  자  본  총  계</t>
  </si>
  <si>
    <r>
      <rPr>
        <b val="true"/>
        <sz val="22"/>
        <color rgb="FF000000"/>
        <rFont val="나눔바른고딕"/>
        <family val="3"/>
        <charset val="129"/>
      </rPr>
      <t xml:space="preserve">1. </t>
    </r>
    <r>
      <rPr>
        <b val="true"/>
        <sz val="22"/>
        <color rgb="FF000000"/>
        <rFont val="Noto Sans CJK SC"/>
        <family val="2"/>
      </rPr>
      <t xml:space="preserve">손익 현황</t>
    </r>
  </si>
  <si>
    <r>
      <rPr>
        <sz val="12"/>
        <color theme="1"/>
        <rFont val="나눔바른고딕"/>
        <family val="3"/>
        <charset val="129"/>
      </rPr>
      <t xml:space="preserve">(</t>
    </r>
    <r>
      <rPr>
        <sz val="12"/>
        <color theme="1"/>
        <rFont val="Noto Sans CJK SC"/>
        <family val="2"/>
      </rPr>
      <t xml:space="preserve">단위</t>
    </r>
    <r>
      <rPr>
        <sz val="12"/>
        <color theme="1"/>
        <rFont val="나눔바른고딕"/>
        <family val="3"/>
        <charset val="129"/>
      </rPr>
      <t xml:space="preserve">:</t>
    </r>
    <r>
      <rPr>
        <sz val="12"/>
        <color theme="1"/>
        <rFont val="Noto Sans CJK SC"/>
        <family val="2"/>
      </rPr>
      <t xml:space="preserve">백만원</t>
    </r>
    <r>
      <rPr>
        <sz val="12"/>
        <color theme="1"/>
        <rFont val="나눔바른고딕"/>
        <family val="3"/>
        <charset val="129"/>
      </rPr>
      <t xml:space="preserve">)</t>
    </r>
  </si>
  <si>
    <t xml:space="preserve">구분</t>
  </si>
  <si>
    <r>
      <rPr>
        <b val="true"/>
        <sz val="14"/>
        <color theme="0"/>
        <rFont val="맑은 고딕"/>
        <family val="3"/>
        <charset val="129"/>
      </rPr>
      <t xml:space="preserve">(7</t>
    </r>
    <r>
      <rPr>
        <b val="true"/>
        <sz val="14"/>
        <color theme="0"/>
        <rFont val="Noto Sans CJK SC"/>
        <family val="2"/>
      </rPr>
      <t xml:space="preserve">월</t>
    </r>
    <r>
      <rPr>
        <b val="true"/>
        <sz val="14"/>
        <color theme="0"/>
        <rFont val="맑은 고딕"/>
        <family val="3"/>
        <charset val="129"/>
      </rPr>
      <t xml:space="preserve">) </t>
    </r>
    <r>
      <rPr>
        <b val="true"/>
        <sz val="14"/>
        <color theme="0"/>
        <rFont val="Noto Sans CJK SC"/>
        <family val="2"/>
      </rPr>
      <t xml:space="preserve">손익 실적 </t>
    </r>
  </si>
  <si>
    <r>
      <rPr>
        <b val="true"/>
        <sz val="14"/>
        <color theme="0"/>
        <rFont val="맑은 고딕"/>
        <family val="3"/>
        <charset val="129"/>
      </rPr>
      <t xml:space="preserve">(8</t>
    </r>
    <r>
      <rPr>
        <b val="true"/>
        <sz val="14"/>
        <color theme="0"/>
        <rFont val="Noto Sans CJK SC"/>
        <family val="2"/>
      </rPr>
      <t xml:space="preserve">월</t>
    </r>
    <r>
      <rPr>
        <b val="true"/>
        <sz val="14"/>
        <color theme="0"/>
        <rFont val="맑은 고딕"/>
        <family val="3"/>
        <charset val="129"/>
      </rPr>
      <t xml:space="preserve">) </t>
    </r>
    <r>
      <rPr>
        <b val="true"/>
        <sz val="14"/>
        <color theme="0"/>
        <rFont val="Noto Sans CJK SC"/>
        <family val="2"/>
      </rPr>
      <t xml:space="preserve">손익 예상</t>
    </r>
  </si>
  <si>
    <r>
      <rPr>
        <b val="true"/>
        <sz val="14"/>
        <color theme="0"/>
        <rFont val="맑은 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 연간 누계실적 </t>
    </r>
    <r>
      <rPr>
        <b val="true"/>
        <sz val="14"/>
        <color theme="0"/>
        <rFont val="맑은 고딕"/>
        <family val="3"/>
        <charset val="129"/>
      </rPr>
      <t xml:space="preserve">(~7</t>
    </r>
    <r>
      <rPr>
        <b val="true"/>
        <sz val="14"/>
        <color theme="0"/>
        <rFont val="Noto Sans CJK SC"/>
        <family val="2"/>
      </rPr>
      <t xml:space="preserve">월</t>
    </r>
    <r>
      <rPr>
        <b val="true"/>
        <sz val="14"/>
        <color theme="0"/>
        <rFont val="맑은 고딕"/>
        <family val="3"/>
        <charset val="129"/>
      </rPr>
      <t xml:space="preserve">)</t>
    </r>
  </si>
  <si>
    <t xml:space="preserve">전년동기 실적</t>
  </si>
  <si>
    <t xml:space="preserve">사업계획</t>
  </si>
  <si>
    <t xml:space="preserve">당월실적</t>
  </si>
  <si>
    <t xml:space="preserve">전년동기
대비</t>
  </si>
  <si>
    <t xml:space="preserve">사업계획
대비</t>
  </si>
  <si>
    <t xml:space="preserve">예상실적</t>
  </si>
  <si>
    <t xml:space="preserve">연간실적</t>
  </si>
  <si>
    <t xml:space="preserve">달라지는 점</t>
  </si>
  <si>
    <t xml:space="preserve">제품매출</t>
  </si>
  <si>
    <t xml:space="preserve">쌤앤파커스</t>
  </si>
  <si>
    <t xml:space="preserve">상품매출</t>
  </si>
  <si>
    <t xml:space="preserve">수출매출</t>
  </si>
  <si>
    <r>
      <rPr>
        <sz val="11"/>
        <color theme="1"/>
        <rFont val="나눔바른고딕"/>
        <family val="3"/>
        <charset val="129"/>
      </rPr>
      <t xml:space="preserve">2016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</si>
  <si>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나눔바른고딕"/>
        <family val="3"/>
        <charset val="129"/>
      </rPr>
      <t xml:space="preserve">2017</t>
    </r>
    <r>
      <rPr>
        <sz val="11"/>
        <color theme="1"/>
        <rFont val="Noto Sans CJK SC"/>
        <family val="2"/>
      </rPr>
      <t xml:space="preserve">년</t>
    </r>
  </si>
  <si>
    <r>
      <rPr>
        <i val="true"/>
        <sz val="14"/>
        <color theme="1"/>
        <rFont val="맑은 고딕"/>
        <family val="3"/>
        <charset val="129"/>
      </rPr>
      <t xml:space="preserve">(EM/EL </t>
    </r>
    <r>
      <rPr>
        <i val="true"/>
        <sz val="14"/>
        <color theme="1"/>
        <rFont val="Noto Sans CJK SC"/>
        <family val="2"/>
      </rPr>
      <t xml:space="preserve">수출실적</t>
    </r>
    <r>
      <rPr>
        <i val="true"/>
        <sz val="14"/>
        <color theme="1"/>
        <rFont val="맑은 고딕"/>
        <family val="3"/>
        <charset val="129"/>
      </rPr>
      <t xml:space="preserve">)</t>
    </r>
  </si>
  <si>
    <t xml:space="preserve">기타매출</t>
  </si>
  <si>
    <t xml:space="preserve">인세</t>
  </si>
  <si>
    <t xml:space="preserve">일반관리비에 있던 인세 매출원가에 포함</t>
  </si>
  <si>
    <t xml:space="preserve">매출액</t>
  </si>
  <si>
    <t xml:space="preserve">재료비</t>
  </si>
  <si>
    <t xml:space="preserve">원재료</t>
  </si>
  <si>
    <t xml:space="preserve">노무비</t>
  </si>
  <si>
    <t xml:space="preserve">외주가공비</t>
  </si>
  <si>
    <t xml:space="preserve">기타경비</t>
  </si>
  <si>
    <t xml:space="preserve">무형자산상각비</t>
  </si>
  <si>
    <t xml:space="preserve">제품매출원가</t>
  </si>
  <si>
    <t xml:space="preserve">상품매출원가</t>
  </si>
  <si>
    <t xml:space="preserve">순서만 바꿈</t>
  </si>
  <si>
    <t xml:space="preserve">매출원가</t>
  </si>
  <si>
    <t xml:space="preserve">매출총이익</t>
  </si>
  <si>
    <t xml:space="preserve">직접 인건비</t>
  </si>
  <si>
    <t xml:space="preserve">상각비</t>
  </si>
  <si>
    <t xml:space="preserve">간접 인건비</t>
  </si>
  <si>
    <t xml:space="preserve">경비</t>
  </si>
  <si>
    <t xml:space="preserve">판매 및 관리비</t>
  </si>
  <si>
    <t xml:space="preserve">영업이익</t>
  </si>
  <si>
    <t xml:space="preserve">우리인터텍스</t>
  </si>
  <si>
    <t xml:space="preserve">영업외수익</t>
  </si>
  <si>
    <t xml:space="preserve">영업외비용</t>
  </si>
  <si>
    <t xml:space="preserve">재료비와 부재료비를 재료비 항목으로 통합</t>
  </si>
  <si>
    <t xml:space="preserve">경상이익</t>
  </si>
  <si>
    <t xml:space="preserve">부재료비</t>
  </si>
  <si>
    <t xml:space="preserve">금액이 크지 않다면 노무비를 기타경비에 포함하고,</t>
  </si>
  <si>
    <t xml:space="preserve">당월 주요사항</t>
  </si>
  <si>
    <t xml:space="preserve">차월 주요사항</t>
  </si>
  <si>
    <t xml:space="preserve">경비를 외주가공비와 기타경비로 구분</t>
  </si>
  <si>
    <r>
      <rPr>
        <sz val="14"/>
        <color theme="1"/>
        <rFont val="맑은 고딕"/>
        <family val="3"/>
        <charset val="129"/>
      </rPr>
      <t xml:space="preserve">1. </t>
    </r>
    <r>
      <rPr>
        <sz val="14"/>
        <color theme="1"/>
        <rFont val="Noto Sans CJK SC"/>
        <family val="2"/>
      </rPr>
      <t xml:space="preserve">매출액</t>
    </r>
  </si>
  <si>
    <r>
      <rPr>
        <sz val="14"/>
        <color theme="1"/>
        <rFont val="맑은 고딕"/>
        <family val="3"/>
        <charset val="129"/>
      </rPr>
      <t xml:space="preserve">1) </t>
    </r>
    <r>
      <rPr>
        <sz val="14"/>
        <color theme="1"/>
        <rFont val="Noto Sans CJK SC"/>
        <family val="2"/>
      </rPr>
      <t xml:space="preserve">상품매출 </t>
    </r>
    <r>
      <rPr>
        <sz val="14"/>
        <color theme="1"/>
        <rFont val="맑은 고딕"/>
        <family val="3"/>
        <charset val="129"/>
      </rPr>
      <t xml:space="preserve">134</t>
    </r>
    <r>
      <rPr>
        <sz val="14"/>
        <color theme="1"/>
        <rFont val="Noto Sans CJK SC"/>
        <family val="2"/>
      </rPr>
      <t xml:space="preserve">백만원</t>
    </r>
  </si>
  <si>
    <r>
      <rPr>
        <sz val="14"/>
        <color theme="1"/>
        <rFont val="맑은 고딕"/>
        <family val="3"/>
        <charset val="129"/>
      </rPr>
      <t xml:space="preserve">1) </t>
    </r>
    <r>
      <rPr>
        <sz val="14"/>
        <color theme="1"/>
        <rFont val="Noto Sans CJK SC"/>
        <family val="2"/>
      </rPr>
      <t xml:space="preserve">상품매출 </t>
    </r>
    <r>
      <rPr>
        <sz val="14"/>
        <color theme="1"/>
        <rFont val="맑은 고딕"/>
        <family val="3"/>
        <charset val="129"/>
      </rPr>
      <t xml:space="preserve">146</t>
    </r>
    <r>
      <rPr>
        <sz val="14"/>
        <color theme="1"/>
        <rFont val="Noto Sans CJK SC"/>
        <family val="2"/>
      </rPr>
      <t xml:space="preserve">백만원</t>
    </r>
  </si>
  <si>
    <r>
      <rPr>
        <sz val="14"/>
        <color theme="1"/>
        <rFont val="맑은 고딕"/>
        <family val="3"/>
        <charset val="129"/>
      </rPr>
      <t xml:space="preserve">2. </t>
    </r>
    <r>
      <rPr>
        <sz val="14"/>
        <color theme="1"/>
        <rFont val="Noto Sans CJK SC"/>
        <family val="2"/>
      </rPr>
      <t xml:space="preserve">영업외비용</t>
    </r>
  </si>
  <si>
    <r>
      <rPr>
        <sz val="14"/>
        <color theme="1"/>
        <rFont val="맑은 고딕"/>
        <family val="3"/>
        <charset val="129"/>
      </rPr>
      <t xml:space="preserve">1) </t>
    </r>
    <r>
      <rPr>
        <sz val="14"/>
        <color theme="1"/>
        <rFont val="Noto Sans CJK SC"/>
        <family val="2"/>
      </rPr>
      <t xml:space="preserve">푸른저축은행 마이너스통장 </t>
    </r>
    <r>
      <rPr>
        <sz val="14"/>
        <color theme="1"/>
        <rFont val="맑은 고딕"/>
        <family val="3"/>
        <charset val="129"/>
      </rPr>
      <t xml:space="preserve">15</t>
    </r>
    <r>
      <rPr>
        <sz val="14"/>
        <color theme="1"/>
        <rFont val="Noto Sans CJK SC"/>
        <family val="2"/>
      </rPr>
      <t xml:space="preserve">억</t>
    </r>
    <r>
      <rPr>
        <sz val="14"/>
        <color theme="1"/>
        <rFont val="맑은 고딕"/>
        <family val="3"/>
        <charset val="129"/>
      </rPr>
      <t xml:space="preserve">(8.3%)</t>
    </r>
  </si>
  <si>
    <r>
      <rPr>
        <sz val="14"/>
        <color theme="1"/>
        <rFont val="맑은 고딕"/>
        <family val="3"/>
        <charset val="129"/>
      </rPr>
      <t xml:space="preserve">1) </t>
    </r>
    <r>
      <rPr>
        <sz val="14"/>
        <color theme="1"/>
        <rFont val="Noto Sans CJK SC"/>
        <family val="2"/>
      </rPr>
      <t xml:space="preserve">푸른저축은행 마이너스통장</t>
    </r>
    <r>
      <rPr>
        <sz val="14"/>
        <color theme="1"/>
        <rFont val="맑은 고딕"/>
        <family val="3"/>
        <charset val="129"/>
      </rPr>
      <t xml:space="preserve">(</t>
    </r>
    <r>
      <rPr>
        <sz val="14"/>
        <color theme="1"/>
        <rFont val="Noto Sans CJK SC"/>
        <family val="2"/>
      </rPr>
      <t xml:space="preserve">대출</t>
    </r>
    <r>
      <rPr>
        <sz val="14"/>
        <color theme="1"/>
        <rFont val="맑은 고딕"/>
        <family val="3"/>
        <charset val="129"/>
      </rPr>
      <t xml:space="preserve">), </t>
    </r>
    <r>
      <rPr>
        <sz val="14"/>
        <color theme="1"/>
        <rFont val="Noto Sans CJK SC"/>
        <family val="2"/>
      </rPr>
      <t xml:space="preserve">이자율 </t>
    </r>
    <r>
      <rPr>
        <sz val="14"/>
        <color theme="1"/>
        <rFont val="맑은 고딕"/>
        <family val="3"/>
        <charset val="129"/>
      </rPr>
      <t xml:space="preserve">8.3%('26.04.11~'27.04.10)</t>
    </r>
  </si>
  <si>
    <r>
      <rPr>
        <sz val="14"/>
        <color theme="1"/>
        <rFont val="맑은 고딕"/>
        <family val="3"/>
        <charset val="129"/>
      </rPr>
      <t xml:space="preserve">- '26.04.11 </t>
    </r>
    <r>
      <rPr>
        <sz val="14"/>
        <color theme="1"/>
        <rFont val="Noto Sans CJK SC"/>
        <family val="2"/>
      </rPr>
      <t xml:space="preserve">대출연장 미사용 한도감소 </t>
    </r>
    <r>
      <rPr>
        <sz val="14"/>
        <color theme="1"/>
        <rFont val="맑은 고딕"/>
        <family val="3"/>
        <charset val="129"/>
      </rPr>
      <t xml:space="preserve">24</t>
    </r>
    <r>
      <rPr>
        <sz val="14"/>
        <color theme="1"/>
        <rFont val="Noto Sans CJK SC"/>
        <family val="2"/>
      </rPr>
      <t xml:space="preserve">억→</t>
    </r>
    <r>
      <rPr>
        <sz val="14"/>
        <color theme="1"/>
        <rFont val="맑은 고딕"/>
        <family val="3"/>
        <charset val="129"/>
      </rPr>
      <t xml:space="preserve">15</t>
    </r>
    <r>
      <rPr>
        <sz val="14"/>
        <color theme="1"/>
        <rFont val="Noto Sans CJK SC"/>
        <family val="2"/>
      </rPr>
      <t xml:space="preserve">억</t>
    </r>
  </si>
  <si>
    <r>
      <rPr>
        <b val="true"/>
        <sz val="22"/>
        <color rgb="FF000000"/>
        <rFont val="맑은 고딕"/>
        <family val="3"/>
        <charset val="129"/>
      </rPr>
      <t xml:space="preserve">2. </t>
    </r>
    <r>
      <rPr>
        <b val="true"/>
        <sz val="22"/>
        <color rgb="FF000000"/>
        <rFont val="Noto Sans CJK SC"/>
        <family val="2"/>
      </rPr>
      <t xml:space="preserve">재무 현황</t>
    </r>
  </si>
  <si>
    <r>
      <rPr>
        <sz val="12"/>
        <color theme="1"/>
        <rFont val="맑은 고딕"/>
        <family val="3"/>
        <charset val="129"/>
      </rPr>
      <t xml:space="preserve">(</t>
    </r>
    <r>
      <rPr>
        <sz val="12"/>
        <color theme="1"/>
        <rFont val="Noto Sans CJK SC"/>
        <family val="2"/>
      </rPr>
      <t xml:space="preserve">단위</t>
    </r>
    <r>
      <rPr>
        <sz val="12"/>
        <color theme="1"/>
        <rFont val="맑은 고딕"/>
        <family val="3"/>
        <charset val="129"/>
      </rPr>
      <t xml:space="preserve">:</t>
    </r>
    <r>
      <rPr>
        <sz val="12"/>
        <color theme="1"/>
        <rFont val="Noto Sans CJK SC"/>
        <family val="2"/>
      </rPr>
      <t xml:space="preserve">백만원</t>
    </r>
    <r>
      <rPr>
        <sz val="12"/>
        <color theme="1"/>
        <rFont val="맑은 고딕"/>
        <family val="3"/>
        <charset val="129"/>
      </rPr>
      <t xml:space="preserve">)</t>
    </r>
  </si>
  <si>
    <r>
      <rPr>
        <b val="true"/>
        <sz val="14"/>
        <color theme="0"/>
        <rFont val="맑은 고딕"/>
        <family val="3"/>
        <charset val="129"/>
      </rPr>
      <t xml:space="preserve">2025</t>
    </r>
    <r>
      <rPr>
        <b val="true"/>
        <sz val="14"/>
        <color theme="0"/>
        <rFont val="Noto Sans CJK SC"/>
        <family val="2"/>
      </rPr>
      <t xml:space="preserve">년</t>
    </r>
  </si>
  <si>
    <r>
      <rPr>
        <b val="true"/>
        <sz val="14"/>
        <color theme="0"/>
        <rFont val="맑은 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</t>
    </r>
  </si>
  <si>
    <t xml:space="preserve">주요 증감내역</t>
  </si>
  <si>
    <t xml:space="preserve">전년말 실적</t>
  </si>
  <si>
    <r>
      <rPr>
        <b val="true"/>
        <sz val="14"/>
        <color theme="0"/>
        <rFont val="맑은 고딕"/>
        <family val="3"/>
        <charset val="129"/>
      </rPr>
      <t xml:space="preserve">7</t>
    </r>
    <r>
      <rPr>
        <b val="true"/>
        <sz val="14"/>
        <color theme="0"/>
        <rFont val="Noto Sans CJK SC"/>
        <family val="2"/>
      </rPr>
      <t xml:space="preserve">월 실적 </t>
    </r>
    <r>
      <rPr>
        <b val="true"/>
        <sz val="14"/>
        <color theme="0"/>
        <rFont val="맑은 고딕"/>
        <family val="3"/>
        <charset val="129"/>
      </rPr>
      <t xml:space="preserve">-</t>
    </r>
    <r>
      <rPr>
        <b val="true"/>
        <sz val="14"/>
        <color theme="0"/>
        <rFont val="Noto Sans CJK SC"/>
        <family val="2"/>
      </rPr>
      <t xml:space="preserve">당월</t>
    </r>
  </si>
  <si>
    <t xml:space="preserve">전기말 대비 증감</t>
  </si>
  <si>
    <t xml:space="preserve">유동자산</t>
  </si>
  <si>
    <t xml:space="preserve">비유동자산</t>
  </si>
  <si>
    <t xml:space="preserve">사무실 임차보증금 15억 회수 및 감가상각누계액</t>
  </si>
  <si>
    <t xml:space="preserve">자산총계</t>
  </si>
  <si>
    <t xml:space="preserve">유동부채</t>
  </si>
  <si>
    <t xml:space="preserve">비유동부채</t>
  </si>
  <si>
    <r>
      <rPr>
        <b val="true"/>
        <sz val="14"/>
        <color theme="1"/>
        <rFont val="맑은 고딕"/>
        <family val="3"/>
        <charset val="129"/>
      </rPr>
      <t xml:space="preserve">(</t>
    </r>
    <r>
      <rPr>
        <b val="true"/>
        <sz val="14"/>
        <color theme="1"/>
        <rFont val="Noto Sans CJK SC"/>
        <family val="2"/>
      </rPr>
      <t xml:space="preserve">차입금</t>
    </r>
    <r>
      <rPr>
        <b val="true"/>
        <sz val="14"/>
        <color theme="1"/>
        <rFont val="맑은 고딕"/>
        <family val="3"/>
        <charset val="129"/>
      </rPr>
      <t xml:space="preserve">)</t>
    </r>
  </si>
  <si>
    <t xml:space="preserve">부채총계</t>
  </si>
  <si>
    <t xml:space="preserve">자본금</t>
  </si>
  <si>
    <t xml:space="preserve">기타자본항목</t>
  </si>
  <si>
    <t xml:space="preserve">자본조정</t>
  </si>
  <si>
    <t xml:space="preserve">주식할인발행차금</t>
  </si>
  <si>
    <t xml:space="preserve">기타포괄손익누계액</t>
  </si>
  <si>
    <t xml:space="preserve">이익잉여금(미처리결손금)</t>
  </si>
  <si>
    <t xml:space="preserve">결손금 증가</t>
  </si>
  <si>
    <t xml:space="preserve">자본총계</t>
  </si>
  <si>
    <t xml:space="preserve">자본 감소</t>
  </si>
  <si>
    <t xml:space="preserve">부채비율</t>
  </si>
  <si>
    <t xml:space="preserve">유동비율</t>
  </si>
  <si>
    <t xml:space="preserve">유동자산 / 유동부채</t>
  </si>
  <si>
    <t xml:space="preserve">차입금의존도</t>
  </si>
  <si>
    <t xml:space="preserve">차입금 / 자산총계</t>
  </si>
  <si>
    <t xml:space="preserve">자본잠식률</t>
  </si>
  <si>
    <t xml:space="preserve">△자본총계 / 자산총계</t>
  </si>
  <si>
    <r>
      <rPr>
        <b val="true"/>
        <sz val="22"/>
        <color rgb="FF000000"/>
        <rFont val="맑은 고딕"/>
        <family val="3"/>
        <charset val="129"/>
      </rPr>
      <t xml:space="preserve">3. </t>
    </r>
    <r>
      <rPr>
        <b val="true"/>
        <sz val="22"/>
        <color rgb="FF000000"/>
        <rFont val="Noto Sans CJK SC"/>
        <family val="2"/>
      </rPr>
      <t xml:space="preserve">현금흐름 현황</t>
    </r>
  </si>
  <si>
    <t xml:space="preserve">구    분</t>
  </si>
  <si>
    <t xml:space="preserve">전월 현금흐름 현황</t>
  </si>
  <si>
    <t xml:space="preserve">당월 현금흐름 현황</t>
  </si>
  <si>
    <t xml:space="preserve">차월 현금흐름계획</t>
  </si>
  <si>
    <t xml:space="preserve">주요 내역</t>
  </si>
  <si>
    <r>
      <rPr>
        <b val="true"/>
        <sz val="14"/>
        <color theme="0"/>
        <rFont val="맑은 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 </t>
    </r>
    <r>
      <rPr>
        <b val="true"/>
        <sz val="14"/>
        <color theme="0"/>
        <rFont val="맑은 고딕"/>
        <family val="3"/>
        <charset val="129"/>
      </rPr>
      <t xml:space="preserve">7</t>
    </r>
    <r>
      <rPr>
        <b val="true"/>
        <sz val="14"/>
        <color theme="0"/>
        <rFont val="Noto Sans CJK SC"/>
        <family val="2"/>
      </rPr>
      <t xml:space="preserve">월</t>
    </r>
  </si>
  <si>
    <r>
      <rPr>
        <b val="true"/>
        <sz val="14"/>
        <color theme="0"/>
        <rFont val="맑은 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 </t>
    </r>
    <r>
      <rPr>
        <b val="true"/>
        <sz val="14"/>
        <color theme="0"/>
        <rFont val="맑은 고딕"/>
        <family val="3"/>
        <charset val="129"/>
      </rPr>
      <t xml:space="preserve">8</t>
    </r>
    <r>
      <rPr>
        <b val="true"/>
        <sz val="14"/>
        <color theme="0"/>
        <rFont val="Noto Sans CJK SC"/>
        <family val="2"/>
      </rPr>
      <t xml:space="preserve">월</t>
    </r>
  </si>
  <si>
    <r>
      <rPr>
        <b val="true"/>
        <sz val="14"/>
        <color theme="0"/>
        <rFont val="맑은 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 </t>
    </r>
    <r>
      <rPr>
        <b val="true"/>
        <sz val="14"/>
        <color theme="0"/>
        <rFont val="맑은 고딕"/>
        <family val="3"/>
        <charset val="129"/>
      </rPr>
      <t xml:space="preserve">9</t>
    </r>
    <r>
      <rPr>
        <b val="true"/>
        <sz val="14"/>
        <color theme="0"/>
        <rFont val="Noto Sans CJK SC"/>
        <family val="2"/>
      </rPr>
      <t xml:space="preserve">월</t>
    </r>
  </si>
  <si>
    <t xml:space="preserve">기초잔액</t>
  </si>
  <si>
    <t xml:space="preserve">매출채권 회수(매출)</t>
  </si>
  <si>
    <t xml:space="preserve">기타 운전자본증감</t>
  </si>
  <si>
    <t xml:space="preserve">기타 영업활동 수입(영업외수익)</t>
  </si>
  <si>
    <t xml:space="preserve">영업활동 수입</t>
  </si>
  <si>
    <t xml:space="preserve">매입채무 지급(매출원가)</t>
  </si>
  <si>
    <t xml:space="preserve">기타 영업활동 지출(판관비)</t>
  </si>
  <si>
    <t xml:space="preserve">원천세 및 부가세 납부</t>
  </si>
  <si>
    <t xml:space="preserve">기타 영업활동 지출(영업외비용)</t>
  </si>
  <si>
    <t xml:space="preserve">이자지출</t>
  </si>
  <si>
    <t xml:space="preserve">영업활동 지출</t>
  </si>
  <si>
    <t xml:space="preserve">영업활동 현금흐름</t>
  </si>
  <si>
    <t xml:space="preserve">투자활동 수입</t>
  </si>
  <si>
    <t xml:space="preserve">보증금 회수</t>
  </si>
  <si>
    <t xml:space="preserve">투자활동 지출</t>
  </si>
  <si>
    <t xml:space="preserve">투자활동 현금흐름</t>
  </si>
  <si>
    <t xml:space="preserve">재무활동 수입</t>
  </si>
  <si>
    <t xml:space="preserve">차입금</t>
  </si>
  <si>
    <t xml:space="preserve">재무활동 지출</t>
  </si>
  <si>
    <t xml:space="preserve">차입금 상환</t>
  </si>
  <si>
    <t xml:space="preserve">재무활동 현금흐름</t>
  </si>
  <si>
    <t xml:space="preserve">현금과부족</t>
  </si>
  <si>
    <t xml:space="preserve">기말잔액(1)</t>
  </si>
  <si>
    <t xml:space="preserve">총 한도잔액</t>
  </si>
  <si>
    <t xml:space="preserve">미사용한도잔액</t>
  </si>
  <si>
    <t xml:space="preserve">기말잔액(2)</t>
  </si>
  <si>
    <r>
      <rPr>
        <b val="true"/>
        <sz val="22"/>
        <color rgb="FF000000"/>
        <rFont val="나눔바른고딕"/>
        <family val="3"/>
        <charset val="129"/>
      </rPr>
      <t xml:space="preserve">4. </t>
    </r>
    <r>
      <rPr>
        <b val="true"/>
        <sz val="22"/>
        <color rgb="FF000000"/>
        <rFont val="Noto Sans CJK SC"/>
        <family val="2"/>
      </rPr>
      <t xml:space="preserve">인원 현황</t>
    </r>
  </si>
  <si>
    <r>
      <rPr>
        <sz val="12"/>
        <color theme="1"/>
        <rFont val="나눔바른고딕"/>
        <family val="3"/>
        <charset val="129"/>
      </rPr>
      <t xml:space="preserve">(</t>
    </r>
    <r>
      <rPr>
        <sz val="12"/>
        <color theme="1"/>
        <rFont val="Noto Sans CJK SC"/>
        <family val="2"/>
      </rPr>
      <t xml:space="preserve">단위</t>
    </r>
    <r>
      <rPr>
        <sz val="12"/>
        <color theme="1"/>
        <rFont val="나눔바른고딕"/>
        <family val="3"/>
        <charset val="129"/>
      </rPr>
      <t xml:space="preserve">:</t>
    </r>
    <r>
      <rPr>
        <sz val="12"/>
        <color theme="1"/>
        <rFont val="Noto Sans CJK SC"/>
        <family val="2"/>
      </rPr>
      <t xml:space="preserve">명</t>
    </r>
    <r>
      <rPr>
        <sz val="12"/>
        <color theme="1"/>
        <rFont val="나눔바른고딕"/>
        <family val="3"/>
        <charset val="129"/>
      </rPr>
      <t xml:space="preserve">)</t>
    </r>
  </si>
  <si>
    <t xml:space="preserve">부서</t>
  </si>
  <si>
    <r>
      <rPr>
        <b val="true"/>
        <sz val="14"/>
        <color theme="0"/>
        <rFont val="나눔바른고딕"/>
        <family val="3"/>
        <charset val="129"/>
      </rPr>
      <t xml:space="preserve">2025</t>
    </r>
    <r>
      <rPr>
        <b val="true"/>
        <sz val="14"/>
        <color theme="0"/>
        <rFont val="Noto Sans CJK SC"/>
        <family val="2"/>
      </rPr>
      <t xml:space="preserve">년 현황</t>
    </r>
  </si>
  <si>
    <r>
      <rPr>
        <b val="true"/>
        <sz val="14"/>
        <color theme="0"/>
        <rFont val="나눔바른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 현황</t>
    </r>
  </si>
  <si>
    <t xml:space="preserve">비고</t>
  </si>
  <si>
    <t xml:space="preserve">전년말 현황</t>
  </si>
  <si>
    <r>
      <rPr>
        <b val="true"/>
        <sz val="14"/>
        <color theme="0"/>
        <rFont val="나눔바른고딕"/>
        <family val="3"/>
        <charset val="129"/>
      </rPr>
      <t xml:space="preserve">7</t>
    </r>
    <r>
      <rPr>
        <b val="true"/>
        <sz val="14"/>
        <color theme="0"/>
        <rFont val="Noto Sans CJK SC"/>
        <family val="2"/>
      </rPr>
      <t xml:space="preserve">월 현황 </t>
    </r>
    <r>
      <rPr>
        <b val="true"/>
        <sz val="14"/>
        <color theme="0"/>
        <rFont val="나눔바른고딕"/>
        <family val="3"/>
        <charset val="129"/>
      </rPr>
      <t xml:space="preserve">- </t>
    </r>
    <r>
      <rPr>
        <b val="true"/>
        <sz val="14"/>
        <color theme="0"/>
        <rFont val="Noto Sans CJK SC"/>
        <family val="2"/>
      </rPr>
      <t xml:space="preserve">당월</t>
    </r>
  </si>
  <si>
    <t xml:space="preserve">전년말대비</t>
  </si>
  <si>
    <t xml:space="preserve">계획대비</t>
  </si>
  <si>
    <t xml:space="preserve">대표</t>
  </si>
  <si>
    <t xml:space="preserve">임원</t>
  </si>
  <si>
    <t xml:space="preserve">기획관리팀</t>
  </si>
  <si>
    <t xml:space="preserve">영업/기획팀</t>
  </si>
  <si>
    <t xml:space="preserve">계약직</t>
  </si>
  <si>
    <t xml:space="preserve">파견직</t>
  </si>
  <si>
    <r>
      <rPr>
        <b val="true"/>
        <sz val="22"/>
        <color rgb="FF000000"/>
        <rFont val="나눔바른고딕"/>
        <family val="3"/>
        <charset val="129"/>
      </rPr>
      <t xml:space="preserve">5. </t>
    </r>
    <r>
      <rPr>
        <b val="true"/>
        <sz val="22"/>
        <color rgb="FF000000"/>
        <rFont val="Noto Sans CJK SC"/>
        <family val="2"/>
      </rPr>
      <t xml:space="preserve">투자 현황</t>
    </r>
  </si>
  <si>
    <t xml:space="preserve">구   분</t>
  </si>
  <si>
    <r>
      <rPr>
        <b val="true"/>
        <sz val="14"/>
        <color theme="0"/>
        <rFont val="나눔바른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</t>
    </r>
  </si>
  <si>
    <r>
      <rPr>
        <b val="true"/>
        <sz val="14"/>
        <color theme="0"/>
        <rFont val="나눔바른고딕"/>
        <family val="3"/>
        <charset val="129"/>
      </rPr>
      <t xml:space="preserve">2026</t>
    </r>
    <r>
      <rPr>
        <b val="true"/>
        <sz val="14"/>
        <color theme="0"/>
        <rFont val="Noto Sans CJK SC"/>
        <family val="2"/>
      </rPr>
      <t xml:space="preserve">년 연간 누계실적</t>
    </r>
  </si>
  <si>
    <r>
      <rPr>
        <b val="true"/>
        <sz val="14"/>
        <color theme="0"/>
        <rFont val="나눔바른고딕"/>
        <family val="3"/>
        <charset val="1"/>
      </rPr>
      <t xml:space="preserve">8</t>
    </r>
    <r>
      <rPr>
        <b val="true"/>
        <sz val="14"/>
        <color theme="0"/>
        <rFont val="Noto Sans CJK SC"/>
        <family val="2"/>
      </rPr>
      <t xml:space="preserve">월 예상 </t>
    </r>
    <r>
      <rPr>
        <b val="true"/>
        <sz val="14"/>
        <color theme="0"/>
        <rFont val="나눔바른고딕"/>
        <family val="3"/>
        <charset val="1"/>
      </rPr>
      <t xml:space="preserve">- </t>
    </r>
    <r>
      <rPr>
        <b val="true"/>
        <sz val="14"/>
        <color theme="0"/>
        <rFont val="Noto Sans CJK SC"/>
        <family val="2"/>
      </rPr>
      <t xml:space="preserve">차월</t>
    </r>
  </si>
  <si>
    <t xml:space="preserve">계획</t>
  </si>
  <si>
    <t xml:space="preserve">실적</t>
  </si>
  <si>
    <t xml:space="preserve">예상</t>
  </si>
  <si>
    <t xml:space="preserve">투자자산</t>
  </si>
  <si>
    <t xml:space="preserve">유형자산</t>
  </si>
  <si>
    <t xml:space="preserve">무형자산</t>
  </si>
  <si>
    <t xml:space="preserve">임차보증금</t>
  </si>
  <si>
    <t xml:space="preserve">기타보증금</t>
  </si>
  <si>
    <t xml:space="preserve">주요투자내역 (당월)</t>
  </si>
  <si>
    <r>
      <rPr>
        <b val="true"/>
        <sz val="14"/>
        <color theme="0"/>
        <rFont val="나눔바른고딕"/>
        <family val="3"/>
        <charset val="129"/>
      </rPr>
      <t xml:space="preserve">(</t>
    </r>
    <r>
      <rPr>
        <b val="true"/>
        <sz val="14"/>
        <color theme="0"/>
        <rFont val="Noto Sans CJK SC"/>
        <family val="2"/>
      </rPr>
      <t xml:space="preserve">차월</t>
    </r>
    <r>
      <rPr>
        <b val="true"/>
        <sz val="14"/>
        <color theme="0"/>
        <rFont val="나눔바른고딕"/>
        <family val="3"/>
        <charset val="129"/>
      </rPr>
      <t xml:space="preserve">)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</si>
  <si>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</si>
  <si>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2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</si>
  <si>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3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</si>
  <si>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4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</si>
  <si>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5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</si>
  <si>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6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</si>
  <si>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7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</si>
  <si>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8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</si>
  <si>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9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</si>
  <si>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10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</si>
  <si>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11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</si>
  <si>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굴림체"/>
        <family val="3"/>
        <charset val="129"/>
      </rPr>
      <t xml:space="preserve">2025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굴림체"/>
        <family val="3"/>
        <charset val="129"/>
      </rPr>
      <t xml:space="preserve">12</t>
    </r>
    <r>
      <rPr>
        <sz val="9"/>
        <color rgb="FF000000"/>
        <rFont val="Noto Sans CJK SC"/>
        <family val="2"/>
      </rPr>
      <t xml:space="preserve">월</t>
    </r>
  </si>
  <si>
    <t xml:space="preserve">차월</t>
  </si>
  <si>
    <t xml:space="preserve">    전 기 오류수정이익</t>
  </si>
  <si>
    <t xml:space="preserve">주요업무 현황</t>
  </si>
  <si>
    <t xml:space="preserve">▣ 주요업무 추진 현황</t>
  </si>
  <si>
    <r>
      <rPr>
        <b val="true"/>
        <sz val="14"/>
        <color theme="0"/>
        <rFont val="나눔바른고딕"/>
        <family val="3"/>
        <charset val="129"/>
      </rPr>
      <t xml:space="preserve">6</t>
    </r>
    <r>
      <rPr>
        <b val="true"/>
        <sz val="14"/>
        <color theme="0"/>
        <rFont val="Noto Sans CJK SC"/>
        <family val="2"/>
      </rPr>
      <t xml:space="preserve">월 주요업무 추진실적</t>
    </r>
  </si>
  <si>
    <r>
      <rPr>
        <b val="true"/>
        <sz val="14"/>
        <color theme="0"/>
        <rFont val="나눔바른고딕"/>
        <family val="3"/>
        <charset val="129"/>
      </rPr>
      <t xml:space="preserve">7</t>
    </r>
    <r>
      <rPr>
        <b val="true"/>
        <sz val="14"/>
        <color theme="0"/>
        <rFont val="Noto Sans CJK SC"/>
        <family val="2"/>
      </rPr>
      <t xml:space="preserve">월 주요업무 추진계획</t>
    </r>
  </si>
  <si>
    <t xml:space="preserve">내용</t>
  </si>
  <si>
    <t xml:space="preserve">▣ 제품 판매 운영</t>
  </si>
  <si>
    <r>
      <rPr>
        <sz val="14"/>
        <rFont val="나눔바른고딕"/>
        <family val="3"/>
        <charset val="129"/>
      </rPr>
      <t xml:space="preserve">    -. </t>
    </r>
    <r>
      <rPr>
        <sz val="14"/>
        <rFont val="Noto Sans CJK SC"/>
        <family val="2"/>
      </rPr>
      <t xml:space="preserve">면 티셔츠 개발 검토</t>
    </r>
  </si>
  <si>
    <r>
      <rPr>
        <sz val="14"/>
        <rFont val="나눔바른고딕"/>
        <family val="3"/>
        <charset val="129"/>
      </rPr>
      <t xml:space="preserve">    -. </t>
    </r>
    <r>
      <rPr>
        <sz val="14"/>
        <rFont val="Noto Sans CJK SC"/>
        <family val="2"/>
      </rPr>
      <t xml:space="preserve">면 티셔츠 샘플 진행예정</t>
    </r>
  </si>
  <si>
    <t xml:space="preserve">▣ 한국/인도 브랜드 교류</t>
  </si>
  <si>
    <r>
      <rPr>
        <sz val="14"/>
        <rFont val="나눔바른고딕"/>
        <family val="3"/>
        <charset val="129"/>
      </rPr>
      <t xml:space="preserve">     -. </t>
    </r>
    <r>
      <rPr>
        <sz val="14"/>
        <rFont val="Noto Sans CJK SC"/>
        <family val="2"/>
      </rPr>
      <t xml:space="preserve">생산 관리 및 수입통관</t>
    </r>
    <r>
      <rPr>
        <sz val="14"/>
        <rFont val="나눔바른고딕"/>
        <family val="3"/>
        <charset val="129"/>
      </rPr>
      <t xml:space="preserve">, </t>
    </r>
    <r>
      <rPr>
        <sz val="14"/>
        <rFont val="Noto Sans CJK SC"/>
        <family val="2"/>
      </rPr>
      <t xml:space="preserve">납품 진행중</t>
    </r>
  </si>
  <si>
    <r>
      <rPr>
        <sz val="14"/>
        <rFont val="나눔바른고딕"/>
        <family val="3"/>
        <charset val="129"/>
      </rPr>
      <t xml:space="preserve">     -. </t>
    </r>
    <r>
      <rPr>
        <sz val="14"/>
        <rFont val="Noto Sans CJK SC"/>
        <family val="2"/>
      </rPr>
      <t xml:space="preserve">생산 관리 및 수입통관</t>
    </r>
    <r>
      <rPr>
        <sz val="14"/>
        <rFont val="나눔바른고딕"/>
        <family val="3"/>
        <charset val="129"/>
      </rPr>
      <t xml:space="preserve">, </t>
    </r>
    <r>
      <rPr>
        <sz val="14"/>
        <rFont val="Noto Sans CJK SC"/>
        <family val="2"/>
      </rPr>
      <t xml:space="preserve">납품 지속</t>
    </r>
  </si>
  <si>
    <r>
      <rPr>
        <sz val="14"/>
        <rFont val="나눔바른고딕"/>
        <family val="3"/>
        <charset val="129"/>
      </rPr>
      <t xml:space="preserve">     -. 1</t>
    </r>
    <r>
      <rPr>
        <sz val="14"/>
        <rFont val="Noto Sans CJK SC"/>
        <family val="2"/>
      </rPr>
      <t xml:space="preserve">분기 운영 실적</t>
    </r>
    <r>
      <rPr>
        <sz val="14"/>
        <rFont val="나눔바른고딕"/>
        <family val="3"/>
        <charset val="129"/>
      </rPr>
      <t xml:space="preserve">, </t>
    </r>
    <r>
      <rPr>
        <sz val="14"/>
        <rFont val="Noto Sans CJK SC"/>
        <family val="2"/>
      </rPr>
      <t xml:space="preserve">가 결산 진행중</t>
    </r>
  </si>
  <si>
    <r>
      <rPr>
        <sz val="14"/>
        <rFont val="나눔바른고딕"/>
        <family val="3"/>
        <charset val="129"/>
      </rPr>
      <t xml:space="preserve">     -. 1</t>
    </r>
    <r>
      <rPr>
        <sz val="14"/>
        <rFont val="Noto Sans CJK SC"/>
        <family val="2"/>
      </rPr>
      <t xml:space="preserve">분기 운영 실적 검토</t>
    </r>
    <r>
      <rPr>
        <sz val="14"/>
        <rFont val="나눔바른고딕"/>
        <family val="3"/>
        <charset val="129"/>
      </rPr>
      <t xml:space="preserve">(</t>
    </r>
    <r>
      <rPr>
        <sz val="14"/>
        <rFont val="Noto Sans CJK SC"/>
        <family val="2"/>
      </rPr>
      <t xml:space="preserve">중간점검</t>
    </r>
    <r>
      <rPr>
        <sz val="14"/>
        <rFont val="나눔바른고딕"/>
        <family val="3"/>
        <charset val="129"/>
      </rPr>
      <t xml:space="preserve">)</t>
    </r>
  </si>
  <si>
    <r>
      <rPr>
        <sz val="14"/>
        <rFont val="나눔바른고딕"/>
        <family val="3"/>
        <charset val="129"/>
      </rPr>
      <t xml:space="preserve">     -. 2</t>
    </r>
    <r>
      <rPr>
        <sz val="14"/>
        <rFont val="Noto Sans CJK SC"/>
        <family val="2"/>
      </rPr>
      <t xml:space="preserve">분기 운영 제품기획 협의 및 목표 수립 예정</t>
    </r>
  </si>
  <si>
    <r>
      <rPr>
        <sz val="14"/>
        <rFont val="나눔바른고딕"/>
        <family val="3"/>
        <charset val="129"/>
      </rPr>
      <t xml:space="preserve">▣ SECO</t>
    </r>
    <r>
      <rPr>
        <sz val="14"/>
        <rFont val="Noto Sans CJK SC"/>
        <family val="2"/>
      </rPr>
      <t xml:space="preserve">창립티셔츠 제작</t>
    </r>
  </si>
  <si>
    <r>
      <rPr>
        <sz val="14"/>
        <rFont val="나눔바른고딕"/>
        <family val="3"/>
        <charset val="129"/>
      </rPr>
      <t xml:space="preserve">     -. </t>
    </r>
    <r>
      <rPr>
        <sz val="14"/>
        <rFont val="Noto Sans CJK SC"/>
        <family val="2"/>
      </rPr>
      <t xml:space="preserve">완제품 수입 통관 및 물류 입고</t>
    </r>
  </si>
  <si>
    <t xml:space="preserve">▣ 도.도매(특정) 운영</t>
  </si>
  <si>
    <r>
      <rPr>
        <sz val="14"/>
        <rFont val="나눔바른고딕"/>
        <family val="3"/>
        <charset val="129"/>
      </rPr>
      <t xml:space="preserve">     -. </t>
    </r>
    <r>
      <rPr>
        <sz val="14"/>
        <rFont val="Noto Sans CJK SC"/>
        <family val="2"/>
      </rPr>
      <t xml:space="preserve">품질 검사 및 주문처별 납품 완료</t>
    </r>
  </si>
  <si>
    <r>
      <rPr>
        <sz val="14"/>
        <rFont val="나눔바른고딕"/>
        <family val="3"/>
        <charset val="129"/>
      </rPr>
      <t xml:space="preserve">     -. '</t>
    </r>
    <r>
      <rPr>
        <sz val="14"/>
        <rFont val="Noto Sans CJK SC"/>
        <family val="2"/>
      </rPr>
      <t xml:space="preserve">제임스딘</t>
    </r>
    <r>
      <rPr>
        <sz val="14"/>
        <rFont val="나눔바른고딕"/>
        <family val="3"/>
        <charset val="129"/>
      </rPr>
      <t xml:space="preserve">' </t>
    </r>
    <r>
      <rPr>
        <sz val="14"/>
        <rFont val="Noto Sans CJK SC"/>
        <family val="2"/>
      </rPr>
      <t xml:space="preserve">과 </t>
    </r>
    <r>
      <rPr>
        <sz val="14"/>
        <rFont val="나눔바른고딕"/>
        <family val="3"/>
        <charset val="129"/>
      </rPr>
      <t xml:space="preserve">'</t>
    </r>
    <r>
      <rPr>
        <sz val="14"/>
        <rFont val="Noto Sans CJK SC"/>
        <family val="2"/>
      </rPr>
      <t xml:space="preserve">돈앤돈스</t>
    </r>
    <r>
      <rPr>
        <sz val="14"/>
        <rFont val="나눔바른고딕"/>
        <family val="3"/>
        <charset val="129"/>
      </rPr>
      <t xml:space="preserve">'</t>
    </r>
    <r>
      <rPr>
        <sz val="14"/>
        <rFont val="Noto Sans CJK SC"/>
        <family val="2"/>
      </rPr>
      <t xml:space="preserve">의 카니발 현상 검토</t>
    </r>
  </si>
  <si>
    <r>
      <rPr>
        <sz val="14"/>
        <rFont val="나눔바른고딕"/>
        <family val="3"/>
        <charset val="129"/>
      </rPr>
      <t xml:space="preserve">          (</t>
    </r>
    <r>
      <rPr>
        <sz val="14"/>
        <rFont val="Noto Sans CJK SC"/>
        <family val="2"/>
      </rPr>
      <t xml:space="preserve">남성용 </t>
    </r>
    <r>
      <rPr>
        <sz val="14"/>
        <rFont val="나눔바른고딕"/>
        <family val="3"/>
        <charset val="129"/>
      </rPr>
      <t xml:space="preserve">32</t>
    </r>
    <r>
      <rPr>
        <sz val="14"/>
        <rFont val="Noto Sans CJK SC"/>
        <family val="2"/>
      </rPr>
      <t xml:space="preserve">수 트렁크세트</t>
    </r>
    <r>
      <rPr>
        <sz val="14"/>
        <rFont val="나눔바른고딕"/>
        <family val="3"/>
        <charset val="129"/>
      </rPr>
      <t xml:space="preserve">)</t>
    </r>
  </si>
  <si>
    <r>
      <rPr>
        <sz val="14"/>
        <rFont val="나눔바른고딕"/>
        <family val="3"/>
        <charset val="129"/>
      </rPr>
      <t xml:space="preserve">     -. </t>
    </r>
    <r>
      <rPr>
        <sz val="14"/>
        <rFont val="Noto Sans CJK SC"/>
        <family val="2"/>
      </rPr>
      <t xml:space="preserve">도</t>
    </r>
    <r>
      <rPr>
        <sz val="14"/>
        <rFont val="나눔바른고딕"/>
        <family val="3"/>
        <charset val="129"/>
      </rPr>
      <t xml:space="preserve">.</t>
    </r>
    <r>
      <rPr>
        <sz val="14"/>
        <rFont val="Noto Sans CJK SC"/>
        <family val="2"/>
      </rPr>
      <t xml:space="preserve">도매</t>
    </r>
    <r>
      <rPr>
        <sz val="14"/>
        <rFont val="나눔바른고딕"/>
        <family val="3"/>
        <charset val="129"/>
      </rPr>
      <t xml:space="preserve">(</t>
    </r>
    <r>
      <rPr>
        <sz val="14"/>
        <rFont val="Noto Sans CJK SC"/>
        <family val="2"/>
      </rPr>
      <t xml:space="preserve">특정</t>
    </r>
    <r>
      <rPr>
        <sz val="14"/>
        <rFont val="나눔바른고딕"/>
        <family val="3"/>
        <charset val="129"/>
      </rPr>
      <t xml:space="preserve">) </t>
    </r>
    <r>
      <rPr>
        <sz val="14"/>
        <rFont val="Noto Sans CJK SC"/>
        <family val="2"/>
      </rPr>
      <t xml:space="preserve">운영 남성용 </t>
    </r>
    <r>
      <rPr>
        <sz val="14"/>
        <rFont val="나눔바른고딕"/>
        <family val="3"/>
        <charset val="129"/>
      </rPr>
      <t xml:space="preserve">32</t>
    </r>
    <r>
      <rPr>
        <sz val="14"/>
        <rFont val="Noto Sans CJK SC"/>
        <family val="2"/>
      </rPr>
      <t xml:space="preserve">수 트렁크세트</t>
    </r>
    <r>
      <rPr>
        <sz val="14"/>
        <rFont val="나눔바른고딕"/>
        <family val="3"/>
        <charset val="129"/>
      </rPr>
      <t xml:space="preserve">, </t>
    </r>
    <r>
      <rPr>
        <sz val="14"/>
        <rFont val="Noto Sans CJK SC"/>
        <family val="2"/>
      </rPr>
      <t xml:space="preserve">초도분 납품 완료</t>
    </r>
  </si>
  <si>
    <t xml:space="preserve">상품(재고)매출</t>
  </si>
  <si>
    <t xml:space="preserve">아웃웨어매출</t>
  </si>
  <si>
    <t xml:space="preserve">브랜드운영매출</t>
  </si>
  <si>
    <t xml:space="preserve">미소로매출</t>
  </si>
  <si>
    <t xml:space="preserve">NH</t>
  </si>
  <si>
    <t xml:space="preserve">보유주식수</t>
  </si>
  <si>
    <t xml:space="preserve">취득금액</t>
  </si>
  <si>
    <t xml:space="preserve">IUI</t>
  </si>
  <si>
    <t xml:space="preserve">취득가액</t>
  </si>
  <si>
    <t xml:space="preserve">배여정</t>
  </si>
  <si>
    <t xml:space="preserve">주당예상이익</t>
  </si>
  <si>
    <t xml:space="preserve">판매예상수량</t>
  </si>
  <si>
    <t xml:space="preserve">의무보유일</t>
  </si>
  <si>
    <t xml:space="preserve">푸른(4억사용)</t>
  </si>
  <si>
    <t xml:space="preserve">외화(분기)</t>
  </si>
  <si>
    <r>
      <rPr>
        <b val="true"/>
        <sz val="22"/>
        <color rgb="FF000000"/>
        <rFont val="나눔바른고딕"/>
        <family val="3"/>
        <charset val="129"/>
      </rPr>
      <t xml:space="preserve">2026</t>
    </r>
    <r>
      <rPr>
        <b val="true"/>
        <sz val="22"/>
        <color rgb="FF000000"/>
        <rFont val="Noto Sans CJK SC"/>
        <family val="2"/>
      </rPr>
      <t xml:space="preserve">년도 손익 예상</t>
    </r>
  </si>
  <si>
    <t xml:space="preserve">원가환입(평가손실분)</t>
  </si>
  <si>
    <t xml:space="preserve">영업외손익</t>
  </si>
</sst>
</file>

<file path=xl/styles.xml><?xml version="1.0" encoding="utf-8"?>
<styleSheet xmlns="http://schemas.openxmlformats.org/spreadsheetml/2006/main">
  <numFmts count="21">
    <numFmt numFmtId="164" formatCode="[$-F800]dddd&quot;, &quot;mmmm\ dd&quot;, &quot;yyyy"/>
    <numFmt numFmtId="165" formatCode="0%"/>
    <numFmt numFmtId="166" formatCode="General"/>
    <numFmt numFmtId="167" formatCode="_(* #,##0_);_(* \(#,##0\);_(* \-_);_(@_)"/>
    <numFmt numFmtId="168" formatCode="@"/>
    <numFmt numFmtId="169" formatCode="#,##0"/>
    <numFmt numFmtId="170" formatCode="_-* #,##0_-;\-* #,##0_-;_-* \-_-;_-@_-"/>
    <numFmt numFmtId="171" formatCode="#,##0_);[RED]\(#,##0\)"/>
    <numFmt numFmtId="172" formatCode="_-[$₩-412]* #,##0_-;\-[$₩-412]* #,##0_-;_-[$₩-412]* \-??_-;_-@_-"/>
    <numFmt numFmtId="173" formatCode="General"/>
    <numFmt numFmtId="174" formatCode="#,##0_ "/>
    <numFmt numFmtId="175" formatCode="0.0%"/>
    <numFmt numFmtId="176" formatCode="_-* #,##0_-;[RED]\(#,##0\)_-;_-* \-_-;_-@_-"/>
    <numFmt numFmtId="177" formatCode="0.0%;[RED]\-0.0%;\-"/>
    <numFmt numFmtId="178" formatCode="0.00%"/>
    <numFmt numFmtId="179" formatCode="m/d/yyyy"/>
    <numFmt numFmtId="180" formatCode="_-* #,##0_-;[RED]\△#,##0_-;_-* \-_-;_-@_-"/>
    <numFmt numFmtId="181" formatCode="General&quot;년말 실적&quot;"/>
    <numFmt numFmtId="182" formatCode="0\명"/>
    <numFmt numFmtId="183" formatCode="#,##0_ ;[RED]\-#,##0\ "/>
    <numFmt numFmtId="184" formatCode="0.00%;[RED]\-0.00%;\-"/>
  </numFmts>
  <fonts count="95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나눔바른고딕"/>
      <family val="2"/>
      <charset val="129"/>
    </font>
    <font>
      <sz val="9"/>
      <color theme="1"/>
      <name val="맑은 고딕"/>
      <family val="2"/>
      <charset val="129"/>
    </font>
    <font>
      <i val="true"/>
      <sz val="9"/>
      <color rgb="FF7F7F7F"/>
      <name val="맑은 고딕"/>
      <family val="2"/>
      <charset val="129"/>
    </font>
    <font>
      <sz val="9"/>
      <color theme="1"/>
      <name val="돋움"/>
      <family val="2"/>
      <charset val="129"/>
    </font>
    <font>
      <sz val="10"/>
      <name val="Arial"/>
      <family val="2"/>
      <charset val="1"/>
    </font>
    <font>
      <sz val="9"/>
      <color rgb="FF000000"/>
      <name val="굴림체"/>
      <family val="3"/>
      <charset val="129"/>
    </font>
    <font>
      <sz val="10"/>
      <color theme="1"/>
      <name val="Arial"/>
      <family val="2"/>
      <charset val="1"/>
    </font>
    <font>
      <sz val="11"/>
      <color theme="1"/>
      <name val="함초롬돋움"/>
      <family val="2"/>
      <charset val="129"/>
    </font>
    <font>
      <sz val="10"/>
      <color theme="1"/>
      <name val="Segoe UI"/>
      <family val="2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b val="true"/>
      <sz val="11"/>
      <color rgb="FF000000"/>
      <name val="나눔바른고딕"/>
      <family val="3"/>
      <charset val="129"/>
    </font>
    <font>
      <sz val="11"/>
      <color theme="1"/>
      <name val="나눔바른고딕"/>
      <family val="3"/>
      <charset val="129"/>
    </font>
    <font>
      <b val="true"/>
      <sz val="11"/>
      <color rgb="FF000000"/>
      <name val="Noto Sans CJK SC"/>
      <family val="2"/>
      <charset val="1"/>
    </font>
    <font>
      <b val="true"/>
      <sz val="28"/>
      <color rgb="FF000000"/>
      <name val="나눔바른고딕"/>
      <family val="3"/>
      <charset val="129"/>
    </font>
    <font>
      <b val="true"/>
      <sz val="28"/>
      <color rgb="FF000000"/>
      <name val="Noto Sans CJK SC"/>
      <family val="2"/>
    </font>
    <font>
      <sz val="11"/>
      <color rgb="FF000000"/>
      <name val="나눔바른고딕"/>
      <family val="3"/>
      <charset val="129"/>
    </font>
    <font>
      <sz val="11"/>
      <color rgb="FF000000"/>
      <name val="Noto Sans CJK SC"/>
      <family val="2"/>
    </font>
    <font>
      <b val="true"/>
      <sz val="18"/>
      <color rgb="FF000000"/>
      <name val="나눔바른고딕"/>
      <family val="3"/>
      <charset val="129"/>
    </font>
    <font>
      <b val="true"/>
      <sz val="18"/>
      <color rgb="FF000000"/>
      <name val="Noto Sans CJK SC"/>
      <family val="2"/>
    </font>
    <font>
      <b val="true"/>
      <sz val="16"/>
      <color rgb="FF000000"/>
      <name val="나눔바른고딕"/>
      <family val="3"/>
      <charset val="129"/>
    </font>
    <font>
      <b val="true"/>
      <sz val="12"/>
      <color rgb="FF000000"/>
      <name val="나눔바른고딕"/>
      <family val="3"/>
      <charset val="129"/>
    </font>
    <font>
      <b val="true"/>
      <sz val="14"/>
      <color rgb="FF000000"/>
      <name val="나눔바른고딕"/>
      <family val="3"/>
      <charset val="129"/>
    </font>
    <font>
      <b val="true"/>
      <sz val="14"/>
      <color rgb="FF000000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2"/>
      <color rgb="FF000000"/>
      <name val="Noto Sans CJK SC"/>
      <family val="2"/>
    </font>
    <font>
      <sz val="11"/>
      <color rgb="FF000000"/>
      <name val="Noto Sans CJK SC"/>
      <family val="2"/>
      <charset val="1"/>
    </font>
    <font>
      <b val="true"/>
      <sz val="12"/>
      <color theme="0"/>
      <name val="나눔바른고딕"/>
      <family val="3"/>
      <charset val="129"/>
    </font>
    <font>
      <b val="true"/>
      <sz val="20"/>
      <color rgb="FF000000"/>
      <name val="Noto Sans CJK SC"/>
      <family val="2"/>
      <charset val="1"/>
    </font>
    <font>
      <b val="true"/>
      <sz val="20"/>
      <color rgb="FF000000"/>
      <name val="나눔바른고딕"/>
      <family val="3"/>
      <charset val="129"/>
    </font>
    <font>
      <b val="true"/>
      <sz val="11"/>
      <color rgb="FF000000"/>
      <name val="Noto Sans CJK SC"/>
      <family val="2"/>
    </font>
    <font>
      <sz val="11"/>
      <color theme="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9"/>
      <color rgb="FF000000"/>
      <name val="Noto Sans CJK SC"/>
      <family val="2"/>
      <charset val="1"/>
    </font>
    <font>
      <sz val="9"/>
      <color rgb="FF000000"/>
      <name val="Noto Sans CJK SC"/>
      <family val="2"/>
    </font>
    <font>
      <b val="true"/>
      <sz val="9"/>
      <color rgb="FF000000"/>
      <name val="굴림체"/>
      <family val="3"/>
      <charset val="129"/>
    </font>
    <font>
      <sz val="9"/>
      <color rgb="FFFF0000"/>
      <name val="굴림체"/>
      <family val="3"/>
      <charset val="129"/>
    </font>
    <font>
      <sz val="9"/>
      <name val="굴림체"/>
      <family val="3"/>
      <charset val="129"/>
    </font>
    <font>
      <sz val="9"/>
      <color theme="1"/>
      <name val="나눔바른고딕"/>
      <family val="3"/>
      <charset val="129"/>
    </font>
    <font>
      <sz val="9"/>
      <color rgb="FF000000"/>
      <name val="나눔바른고딕"/>
      <family val="3"/>
      <charset val="129"/>
    </font>
    <font>
      <sz val="10"/>
      <color theme="1"/>
      <name val="나눔바른고딕"/>
      <family val="3"/>
      <charset val="129"/>
    </font>
    <font>
      <sz val="10"/>
      <color rgb="FF000000"/>
      <name val="나눔바른고딕"/>
      <family val="3"/>
      <charset val="129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b val="true"/>
      <sz val="22"/>
      <color rgb="FF000000"/>
      <name val="나눔바른고딕"/>
      <family val="3"/>
      <charset val="129"/>
    </font>
    <font>
      <b val="true"/>
      <sz val="22"/>
      <color rgb="FF000000"/>
      <name val="Noto Sans CJK SC"/>
      <family val="2"/>
    </font>
    <font>
      <sz val="11"/>
      <name val="나눔바른고딕"/>
      <family val="3"/>
      <charset val="129"/>
    </font>
    <font>
      <sz val="12"/>
      <color theme="1"/>
      <name val="나눔바른고딕"/>
      <family val="3"/>
      <charset val="129"/>
    </font>
    <font>
      <sz val="12"/>
      <color theme="1"/>
      <name val="Noto Sans CJK SC"/>
      <family val="2"/>
    </font>
    <font>
      <b val="true"/>
      <sz val="16"/>
      <color theme="1"/>
      <name val="나눔바른고딕"/>
      <family val="3"/>
      <charset val="129"/>
    </font>
    <font>
      <b val="true"/>
      <sz val="14"/>
      <color theme="0"/>
      <name val="Noto Sans CJK SC"/>
      <family val="2"/>
      <charset val="1"/>
    </font>
    <font>
      <b val="true"/>
      <sz val="14"/>
      <color theme="0"/>
      <name val="맑은 고딕"/>
      <family val="3"/>
      <charset val="129"/>
    </font>
    <font>
      <b val="true"/>
      <sz val="14"/>
      <color theme="0"/>
      <name val="Noto Sans CJK SC"/>
      <family val="2"/>
    </font>
    <font>
      <b val="true"/>
      <sz val="11"/>
      <color theme="1"/>
      <name val="Noto Sans CJK SC"/>
      <family val="2"/>
      <charset val="1"/>
    </font>
    <font>
      <sz val="14"/>
      <color theme="1"/>
      <name val="Noto Sans CJK SC"/>
      <family val="2"/>
      <charset val="1"/>
    </font>
    <font>
      <sz val="14"/>
      <color theme="1"/>
      <name val="맑은 고딕"/>
      <family val="3"/>
      <charset val="129"/>
    </font>
    <font>
      <b val="true"/>
      <sz val="12"/>
      <color theme="1"/>
      <name val="나눔바른고딕"/>
      <family val="3"/>
      <charset val="129"/>
    </font>
    <font>
      <i val="true"/>
      <sz val="11"/>
      <color theme="1"/>
      <name val="나눔바른고딕"/>
      <family val="3"/>
      <charset val="129"/>
    </font>
    <font>
      <i val="true"/>
      <sz val="14"/>
      <color theme="1"/>
      <name val="맑은 고딕"/>
      <family val="3"/>
      <charset val="129"/>
    </font>
    <font>
      <i val="true"/>
      <sz val="14"/>
      <color theme="1"/>
      <name val="Noto Sans CJK SC"/>
      <family val="2"/>
    </font>
    <font>
      <b val="true"/>
      <sz val="14"/>
      <color theme="1"/>
      <name val="Noto Sans CJK SC"/>
      <family val="2"/>
      <charset val="1"/>
    </font>
    <font>
      <b val="true"/>
      <sz val="14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theme="1"/>
      <name val="Noto Sans CJK SC"/>
      <family val="2"/>
    </font>
    <font>
      <sz val="14"/>
      <name val="맑은 고딕"/>
      <family val="3"/>
      <charset val="129"/>
    </font>
    <font>
      <sz val="14"/>
      <color theme="1"/>
      <name val="나눔바른고딕"/>
      <family val="3"/>
      <charset val="129"/>
    </font>
    <font>
      <sz val="14"/>
      <name val="나눔바른고딕"/>
      <family val="3"/>
      <charset val="129"/>
    </font>
    <font>
      <b val="true"/>
      <sz val="2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 val="true"/>
      <sz val="16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4"/>
      <color rgb="FF000000"/>
      <name val="Noto Sans CJK SC"/>
      <family val="2"/>
      <charset val="1"/>
    </font>
    <font>
      <b val="true"/>
      <sz val="14"/>
      <color rgb="FF000000"/>
      <name val="맑은 고딕"/>
      <family val="3"/>
      <charset val="129"/>
    </font>
    <font>
      <b val="true"/>
      <sz val="14"/>
      <color theme="1"/>
      <name val="Noto Sans CJK SC"/>
      <family val="2"/>
    </font>
    <font>
      <sz val="11"/>
      <color theme="1" tint="0.2499"/>
      <name val="맑은 고딕"/>
      <family val="3"/>
      <charset val="129"/>
    </font>
    <font>
      <sz val="14"/>
      <color theme="1" tint="0.2499"/>
      <name val="Noto Sans CJK SC"/>
      <family val="2"/>
      <charset val="1"/>
    </font>
    <font>
      <sz val="14"/>
      <color theme="1" tint="0.2499"/>
      <name val="맑은 고딕"/>
      <family val="3"/>
      <charset val="129"/>
    </font>
    <font>
      <sz val="14"/>
      <name val="Noto Sans CJK SC"/>
      <family val="2"/>
      <charset val="1"/>
    </font>
    <font>
      <b val="true"/>
      <sz val="14"/>
      <name val="Noto Sans CJK SC"/>
      <family val="2"/>
      <charset val="1"/>
    </font>
    <font>
      <b val="true"/>
      <sz val="14"/>
      <color theme="1"/>
      <name val="나눔바른고딕"/>
      <family val="3"/>
      <charset val="129"/>
    </font>
    <font>
      <b val="true"/>
      <sz val="14"/>
      <color theme="0"/>
      <name val="나눔바른고딕"/>
      <family val="3"/>
      <charset val="129"/>
    </font>
    <font>
      <sz val="14"/>
      <color rgb="FF000000"/>
      <name val="나눔바른고딕"/>
      <family val="3"/>
      <charset val="129"/>
    </font>
    <font>
      <b val="true"/>
      <sz val="14"/>
      <color theme="0"/>
      <name val="나눔바른고딕"/>
      <family val="3"/>
      <charset val="1"/>
    </font>
    <font>
      <b val="true"/>
      <sz val="22"/>
      <color rgb="FF000000"/>
      <name val="Noto Sans CJK SC"/>
      <family val="2"/>
      <charset val="1"/>
    </font>
    <font>
      <b val="true"/>
      <sz val="16"/>
      <color theme="1"/>
      <name val="Noto Sans CJK SC"/>
      <family val="2"/>
      <charset val="1"/>
    </font>
    <font>
      <b val="true"/>
      <sz val="14"/>
      <name val="나눔바른고딕"/>
      <family val="3"/>
      <charset val="129"/>
    </font>
    <font>
      <sz val="14"/>
      <name val="Noto Sans CJK SC"/>
      <family val="2"/>
    </font>
    <font>
      <sz val="14"/>
      <color rgb="FFFF0000"/>
      <name val="나눔바른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F4B183"/>
      </patternFill>
    </fill>
    <fill>
      <patternFill patternType="solid">
        <fgColor rgb="FFE82076"/>
        <bgColor rgb="FF993366"/>
      </patternFill>
    </fill>
    <fill>
      <patternFill patternType="solid">
        <fgColor rgb="FF918F8F"/>
        <bgColor rgb="FF7F7F7F"/>
      </patternFill>
    </fill>
    <fill>
      <patternFill patternType="solid">
        <fgColor rgb="FFF2F2F2"/>
        <bgColor rgb="FFEDEDED"/>
      </patternFill>
    </fill>
    <fill>
      <patternFill patternType="solid">
        <fgColor theme="0" tint="-0.25"/>
        <bgColor rgb="FFC0C0C0"/>
      </patternFill>
    </fill>
    <fill>
      <patternFill patternType="solid">
        <fgColor rgb="FFE8E8E8"/>
        <bgColor rgb="FFE7E6E6"/>
      </patternFill>
    </fill>
    <fill>
      <patternFill patternType="solid">
        <fgColor theme="6" tint="0.7999"/>
        <bgColor rgb="FFF2F2F2"/>
      </patternFill>
    </fill>
    <fill>
      <patternFill patternType="solid">
        <fgColor theme="2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6" tint="0.5999"/>
        <bgColor rgb="FFE7E6E6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</borders>
  <cellStyleXfs count="35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1" xfId="33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2" borderId="1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1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8" fillId="2" borderId="1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distributed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2" borderId="1" xfId="3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2" borderId="10" xfId="33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3" borderId="12" xfId="35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0" fillId="3" borderId="12" xfId="3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2" xfId="3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30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12" xfId="35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2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2" borderId="12" xfId="35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3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2" xfId="35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4" fillId="0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0" fillId="0" borderId="12" xfId="35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4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2" borderId="12" xfId="35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0" fillId="2" borderId="12" xfId="3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4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3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0" borderId="0" xfId="3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12" xfId="30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9" fillId="3" borderId="12" xfId="35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12" xfId="35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3" borderId="12" xfId="35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9" fillId="3" borderId="12" xfId="3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2" xfId="30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9" fillId="2" borderId="12" xfId="35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8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9" fillId="2" borderId="12" xfId="3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12" xfId="30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8" fillId="2" borderId="12" xfId="35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8" fillId="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8" fillId="2" borderId="12" xfId="3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8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30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2" borderId="12" xfId="30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8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7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5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8" fillId="5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7" fillId="5" borderId="1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13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6" fontId="62" fillId="0" borderId="13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77" fontId="62" fillId="0" borderId="13" xfId="47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2" fillId="0" borderId="13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0" borderId="13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62" fillId="6" borderId="13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6" borderId="13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2" fillId="0" borderId="1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6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4" fillId="0" borderId="0" xfId="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6" fontId="62" fillId="0" borderId="1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77" fontId="62" fillId="0" borderId="1" xfId="47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2" fillId="6" borderId="1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6" borderId="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2" fillId="0" borderId="1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0" borderId="1" xfId="47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62" fillId="6" borderId="1" xfId="47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5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5" fillId="0" borderId="1" xfId="0" applyFont="true" applyBorder="true" applyAlignment="true" applyProtection="true">
      <alignment horizontal="right" vertical="top" textRotation="0" wrapText="false" indent="0" shrinkToFit="true"/>
      <protection locked="false" hidden="false"/>
    </xf>
    <xf numFmtId="176" fontId="65" fillId="0" borderId="1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5" fillId="0" borderId="1" xfId="47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6" fontId="65" fillId="6" borderId="1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5" fillId="6" borderId="1" xfId="47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5" fontId="6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4" fillId="2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4" fillId="2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6" borderId="11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6" fontId="68" fillId="6" borderId="1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8" fillId="6" borderId="1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30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7" borderId="13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6" fontId="62" fillId="7" borderId="1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7" borderId="13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62" fillId="7" borderId="13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1" fillId="7" borderId="1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7" fontId="62" fillId="7" borderId="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61" fillId="7" borderId="10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64" fontId="1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2" fillId="0" borderId="2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2" fillId="0" borderId="1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2" fillId="0" borderId="14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62" fillId="6" borderId="2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2" fillId="0" borderId="16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62" fillId="0" borderId="1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62" fillId="0" borderId="23" xfId="47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2" fillId="6" borderId="1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2" fillId="6" borderId="22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8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0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6" fontId="62" fillId="0" borderId="1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62" fillId="0" borderId="10" xfId="47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2" fillId="6" borderId="19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6" borderId="10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2" fillId="0" borderId="19" xfId="47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2" fillId="0" borderId="2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2" fillId="6" borderId="10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6" borderId="2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30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7" fillId="8" borderId="11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6" fontId="68" fillId="8" borderId="1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8" fillId="8" borderId="1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8" fontId="62" fillId="0" borderId="13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2" fillId="0" borderId="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62" fillId="9" borderId="1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0" fontId="62" fillId="6" borderId="1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64" fontId="30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2" fillId="0" borderId="10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7" fontId="62" fillId="0" borderId="10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67" fillId="0" borderId="11" xfId="0" applyFont="true" applyBorder="true" applyAlignment="true" applyProtection="true">
      <alignment horizontal="right" vertical="center" textRotation="0" wrapText="false" indent="1" shrinkToFit="true"/>
      <protection locked="false" hidden="false"/>
    </xf>
    <xf numFmtId="176" fontId="68" fillId="0" borderId="1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68" fillId="0" borderId="1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68" fillId="8" borderId="11" xfId="47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3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6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6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9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7" fillId="5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8" fillId="5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5" borderId="2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8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7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6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2" fillId="0" borderId="23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62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2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2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7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6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7" xfId="0" applyFont="true" applyBorder="true" applyAlignment="true" applyProtection="true">
      <alignment horizontal="left" vertical="bottom" textRotation="0" wrapText="false" indent="3" shrinkToFit="false"/>
      <protection locked="false" hidden="false"/>
    </xf>
    <xf numFmtId="164" fontId="62" fillId="0" borderId="17" xfId="0" applyFont="true" applyBorder="true" applyAlignment="true" applyProtection="true">
      <alignment horizontal="left" vertical="bottom" textRotation="0" wrapText="false" indent="4" shrinkToFit="false"/>
      <protection locked="false" hidden="false"/>
    </xf>
    <xf numFmtId="164" fontId="71" fillId="0" borderId="19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62" fillId="0" borderId="2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2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9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62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2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2" fillId="0" borderId="0" xfId="0" applyFont="true" applyBorder="false" applyAlignment="true" applyProtection="true">
      <alignment horizontal="left" vertical="center" textRotation="0" wrapText="false" indent="3" shrinkToFit="false"/>
      <protection locked="false" hidden="false"/>
    </xf>
    <xf numFmtId="164" fontId="73" fillId="0" borderId="0" xfId="0" applyFont="true" applyBorder="false" applyAlignment="true" applyProtection="true">
      <alignment horizontal="left" vertical="center" textRotation="0" wrapText="false" indent="3" shrinkToFit="false"/>
      <protection locked="false" hidden="false"/>
    </xf>
    <xf numFmtId="164" fontId="72" fillId="0" borderId="0" xfId="0" applyFont="true" applyBorder="false" applyAlignment="true" applyProtection="true">
      <alignment horizontal="left" vertical="center" textRotation="0" wrapText="false" indent="2" shrinkToFit="false"/>
      <protection locked="fals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28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2" borderId="0" xfId="28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2" borderId="0" xfId="28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0" xfId="28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4" fillId="2" borderId="0" xfId="28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5" fillId="0" borderId="0" xfId="28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0" xfId="28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4" borderId="0" xfId="28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4" borderId="0" xfId="28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28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2" fillId="2" borderId="0" xfId="28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6" fillId="2" borderId="0" xfId="28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62" fillId="2" borderId="0" xfId="28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62" fillId="2" borderId="0" xfId="28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2" fillId="2" borderId="0" xfId="28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7" fillId="2" borderId="0" xfId="28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7" fillId="5" borderId="11" xfId="2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8" fillId="5" borderId="11" xfId="2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7" fillId="5" borderId="11" xfId="2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8" fillId="5" borderId="11" xfId="2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1" fillId="0" borderId="13" xfId="283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69" fillId="0" borderId="13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9" fillId="0" borderId="13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9" fillId="6" borderId="13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9" fillId="6" borderId="13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9" fillId="0" borderId="13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1" fillId="0" borderId="10" xfId="283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69" fillId="0" borderId="10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9" fillId="0" borderId="10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9" fillId="6" borderId="10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9" fillId="6" borderId="10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8" fillId="0" borderId="10" xfId="3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8" borderId="11" xfId="327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79" fillId="8" borderId="1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9" fillId="8" borderId="1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9" fillId="8" borderId="1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9" fillId="0" borderId="10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8" fillId="2" borderId="0" xfId="28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8" fillId="8" borderId="11" xfId="283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79" fillId="8" borderId="11" xfId="3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9" fillId="0" borderId="13" xfId="3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1" fillId="0" borderId="1" xfId="283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69" fillId="0" borderId="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9" fillId="0" borderId="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9" fillId="6" borderId="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9" fillId="6" borderId="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9" fillId="0" borderId="1" xfId="3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8" fillId="0" borderId="1" xfId="3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9" fillId="8" borderId="11" xfId="3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2" fillId="2" borderId="0" xfId="327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2" fillId="2" borderId="0" xfId="9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62" fillId="2" borderId="0" xfId="327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2" fillId="2" borderId="0" xfId="32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7" fillId="0" borderId="11" xfId="283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79" fillId="0" borderId="11" xfId="3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2" fillId="0" borderId="11" xfId="28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7" fillId="8" borderId="11" xfId="283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79" fillId="8" borderId="11" xfId="3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1" fillId="8" borderId="11" xfId="28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1" fillId="0" borderId="11" xfId="28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5" fillId="4" borderId="0" xfId="28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7" fillId="5" borderId="11" xfId="283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57" fillId="5" borderId="13" xfId="283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57" fillId="5" borderId="11" xfId="283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58" fillId="5" borderId="10" xfId="283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58" fillId="5" borderId="11" xfId="283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67" fillId="8" borderId="11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68" fillId="8" borderId="1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68" fillId="8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81" fillId="2" borderId="0" xfId="28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2" fillId="0" borderId="13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83" fillId="0" borderId="13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0" fontId="83" fillId="6" borderId="13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3" fillId="0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3" fillId="6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82" fillId="0" borderId="1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83" fillId="0" borderId="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0" fontId="83" fillId="6" borderId="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71" fillId="0" borderId="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3" fillId="6" borderId="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3" fillId="0" borderId="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82" fillId="0" borderId="10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83" fillId="0" borderId="10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0" fontId="83" fillId="6" borderId="10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71" fillId="0" borderId="10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71" fillId="6" borderId="10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82" fillId="10" borderId="11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83" fillId="10" borderId="1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71" fillId="10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3" fillId="10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71" fillId="0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71" fillId="6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4" fillId="0" borderId="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71" fillId="6" borderId="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4" fillId="0" borderId="10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4" fillId="6" borderId="10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61" fillId="0" borderId="10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0" fontId="62" fillId="8" borderId="1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71" fillId="8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62" fillId="8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61" fillId="0" borderId="13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62" fillId="0" borderId="13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0" fontId="62" fillId="6" borderId="13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4" fillId="0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62" fillId="0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61" fillId="0" borderId="10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62" fillId="0" borderId="10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0" fontId="62" fillId="6" borderId="10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62" fillId="0" borderId="10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62" fillId="6" borderId="10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61" fillId="0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62" fillId="6" borderId="13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67" fillId="0" borderId="11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62" fillId="0" borderId="1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0" fontId="62" fillId="6" borderId="1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62" fillId="0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62" fillId="6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85" fillId="8" borderId="11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6" fontId="61" fillId="0" borderId="11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6" fontId="67" fillId="6" borderId="11" xfId="283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80" fontId="68" fillId="6" borderId="11" xfId="28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68" fillId="6" borderId="11" xfId="283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18" fillId="2" borderId="0" xfId="34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2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8" fillId="2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2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1" fillId="2" borderId="0" xfId="34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3" fillId="0" borderId="0" xfId="34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2" fillId="4" borderId="0" xfId="34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8" fillId="4" borderId="0" xfId="34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4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0" borderId="0" xfId="34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2" fillId="2" borderId="0" xfId="34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6" fillId="2" borderId="0" xfId="34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6" fillId="0" borderId="0" xfId="345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5" fontId="28" fillId="0" borderId="0" xfId="32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2" fillId="0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4" fillId="2" borderId="0" xfId="34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7" fillId="5" borderId="11" xfId="34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87" fillId="5" borderId="13" xfId="34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87" fillId="5" borderId="1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7" fillId="5" borderId="1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7" fillId="5" borderId="11" xfId="34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87" fillId="5" borderId="11" xfId="34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8" fillId="0" borderId="13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88" fillId="0" borderId="13" xfId="34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88" fillId="0" borderId="13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72" fillId="0" borderId="13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2" borderId="13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8" fillId="0" borderId="1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88" fillId="0" borderId="1" xfId="34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2" fillId="0" borderId="1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72" fillId="0" borderId="1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2" borderId="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1" fillId="0" borderId="1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72" fillId="0" borderId="1" xfId="34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72" fillId="2" borderId="1" xfId="3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8" fillId="0" borderId="1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88" fillId="0" borderId="1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0" borderId="1" xfId="3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8" fillId="0" borderId="10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88" fillId="0" borderId="10" xfId="34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88" fillId="0" borderId="10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88" fillId="0" borderId="10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2" borderId="10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8" borderId="1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8" borderId="11" xfId="345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8" fillId="8" borderId="11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8" fillId="8" borderId="11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8" borderId="1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2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72" fillId="2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2" fillId="2" borderId="0" xfId="3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9" fillId="5" borderId="1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8" fillId="2" borderId="13" xfId="345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76" fontId="88" fillId="0" borderId="13" xfId="345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77" fontId="72" fillId="0" borderId="13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88" fillId="0" borderId="13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88" fillId="0" borderId="13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72" fillId="0" borderId="13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8" fillId="0" borderId="1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88" fillId="0" borderId="13" xfId="345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88" fillId="0" borderId="13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9" fillId="0" borderId="13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72" fillId="2" borderId="0" xfId="34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8" fillId="2" borderId="1" xfId="345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76" fontId="88" fillId="0" borderId="1" xfId="345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77" fontId="72" fillId="0" borderId="1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88" fillId="0" borderId="1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88" fillId="0" borderId="1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72" fillId="0" borderId="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2" fillId="0" borderId="1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8" fillId="0" borderId="18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8" fillId="0" borderId="1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8" fillId="2" borderId="10" xfId="345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76" fontId="88" fillId="0" borderId="10" xfId="345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77" fontId="72" fillId="0" borderId="10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88" fillId="0" borderId="10" xfId="3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88" fillId="0" borderId="10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72" fillId="0" borderId="10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8" fillId="0" borderId="10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8" fillId="0" borderId="10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6" fillId="2" borderId="0" xfId="34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8" fillId="8" borderId="11" xfId="3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6" fillId="8" borderId="11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8" fillId="8" borderId="11" xfId="9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8" fillId="2" borderId="0" xfId="34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8" fillId="2" borderId="0" xfId="34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8" fillId="0" borderId="0" xfId="34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7" fillId="5" borderId="14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7" fillId="5" borderId="15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7" fillId="5" borderId="16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7" fillId="5" borderId="16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2" fillId="0" borderId="23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2" fillId="0" borderId="24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0" borderId="22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0" borderId="24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2" fillId="0" borderId="17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2" fillId="0" borderId="0" xfId="345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72" fillId="0" borderId="18" xfId="34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72" fillId="0" borderId="0" xfId="34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2" fillId="0" borderId="18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2" fillId="2" borderId="0" xfId="345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6" fontId="72" fillId="0" borderId="0" xfId="345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72" fillId="0" borderId="0" xfId="345" applyFont="true" applyBorder="false" applyAlignment="true" applyProtection="true">
      <alignment horizontal="general" vertical="center" textRotation="0" wrapText="false" indent="0" shrinkToFit="true"/>
      <protection locked="false" hidden="false"/>
    </xf>
    <xf numFmtId="166" fontId="72" fillId="0" borderId="19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2" fillId="0" borderId="20" xfId="34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6" fontId="72" fillId="0" borderId="20" xfId="34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72" fillId="0" borderId="21" xfId="34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72" fillId="0" borderId="20" xfId="34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2" fillId="0" borderId="20" xfId="3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2" fillId="11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11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2" borderId="0" xfId="34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2" borderId="0" xfId="34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8" fillId="2" borderId="0" xfId="34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2" borderId="0" xfId="34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0" fillId="2" borderId="0" xfId="34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3" fillId="0" borderId="0" xfId="34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2" fillId="4" borderId="0" xfId="34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8" fillId="4" borderId="0" xfId="34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4" borderId="0" xfId="34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0" borderId="0" xfId="34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2" fillId="2" borderId="0" xfId="34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2" fillId="0" borderId="0" xfId="34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6" fillId="0" borderId="0" xfId="34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1" fillId="0" borderId="0" xfId="34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2" fillId="0" borderId="0" xfId="346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80" fontId="86" fillId="0" borderId="0" xfId="346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74" fontId="86" fillId="0" borderId="0" xfId="346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6" fontId="57" fillId="5" borderId="11" xfId="34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7" fillId="5" borderId="11" xfId="34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5" fillId="0" borderId="11" xfId="34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4" fillId="0" borderId="13" xfId="346" applyFont="true" applyBorder="true" applyAlignment="true" applyProtection="true">
      <alignment horizontal="left" vertical="center" textRotation="0" wrapText="false" indent="1" shrinkToFit="true"/>
      <protection locked="false" hidden="false"/>
    </xf>
    <xf numFmtId="166" fontId="73" fillId="0" borderId="1" xfId="346" applyFont="true" applyBorder="true" applyAlignment="true" applyProtection="true">
      <alignment horizontal="left" vertical="center" textRotation="0" wrapText="false" indent="1" shrinkToFit="true"/>
      <protection locked="false" hidden="false"/>
    </xf>
    <xf numFmtId="166" fontId="73" fillId="0" borderId="17" xfId="346" applyFont="true" applyBorder="true" applyAlignment="true" applyProtection="true">
      <alignment horizontal="left" vertical="center" textRotation="0" wrapText="false" indent="1" shrinkToFit="true"/>
      <protection locked="false" hidden="false"/>
    </xf>
    <xf numFmtId="166" fontId="73" fillId="0" borderId="0" xfId="346" applyFont="true" applyBorder="false" applyAlignment="true" applyProtection="true">
      <alignment horizontal="left" vertical="center" textRotation="0" wrapText="false" indent="1" shrinkToFit="true"/>
      <protection locked="false" hidden="false"/>
    </xf>
    <xf numFmtId="166" fontId="73" fillId="0" borderId="18" xfId="346" applyFont="true" applyBorder="true" applyAlignment="true" applyProtection="true">
      <alignment horizontal="left" vertical="center" textRotation="0" wrapText="false" indent="1" shrinkToFit="true"/>
      <protection locked="false" hidden="false"/>
    </xf>
    <xf numFmtId="166" fontId="84" fillId="0" borderId="1" xfId="346" applyFont="true" applyBorder="true" applyAlignment="true" applyProtection="true">
      <alignment horizontal="left" vertical="center" textRotation="0" wrapText="false" indent="1" shrinkToFit="true"/>
      <protection locked="false" hidden="false"/>
    </xf>
    <xf numFmtId="166" fontId="94" fillId="0" borderId="10" xfId="346" applyFont="true" applyBorder="true" applyAlignment="true" applyProtection="true">
      <alignment horizontal="left" vertical="center" textRotation="0" wrapText="false" indent="1" shrinkToFit="true"/>
      <protection locked="false" hidden="false"/>
    </xf>
    <xf numFmtId="166" fontId="92" fillId="0" borderId="0" xfId="346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73" fillId="0" borderId="0" xfId="346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73" fillId="0" borderId="0" xfId="346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73" fillId="0" borderId="0" xfId="346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73" fillId="0" borderId="0" xfId="346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74" fontId="18" fillId="0" borderId="0" xfId="34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8" fillId="0" borderId="0" xfId="34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34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34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1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0" fillId="2" borderId="12" xfId="355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9" fontId="44" fillId="1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3" fillId="1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4" fillId="12" borderId="12" xfId="30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0" fillId="0" borderId="0" xfId="30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1" fillId="0" borderId="0" xfId="30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40" fillId="0" borderId="25" xfId="30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1" fillId="0" borderId="0" xfId="30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84" fontId="62" fillId="0" borderId="13" xfId="47" applyFont="true" applyBorder="true" applyAlignment="true" applyProtection="false">
      <alignment horizontal="general" vertical="center" textRotation="0" wrapText="false" indent="0" shrinkToFit="true"/>
      <protection locked="true" hidden="false"/>
    </xf>
  </cellXfs>
  <cellStyles count="34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백분율 2" xfId="20"/>
    <cellStyle name="백분율 2 2" xfId="21"/>
    <cellStyle name="백분율 2 3" xfId="22"/>
    <cellStyle name="백분율 3" xfId="23"/>
    <cellStyle name="백분율 4" xfId="24"/>
    <cellStyle name="백분율 5" xfId="25"/>
    <cellStyle name="백분율 6" xfId="26"/>
    <cellStyle name="백분율 7" xfId="27"/>
    <cellStyle name="백분율 8" xfId="28"/>
    <cellStyle name="설명 텍스트 2" xfId="29"/>
    <cellStyle name="쉼표 [0] 10" xfId="30"/>
    <cellStyle name="쉼표 [0] 10 2" xfId="31"/>
    <cellStyle name="쉼표 [0] 11" xfId="32"/>
    <cellStyle name="쉼표 [0] 11 2" xfId="33"/>
    <cellStyle name="쉼표 [0] 11 2 2" xfId="34"/>
    <cellStyle name="쉼표 [0] 11 3" xfId="35"/>
    <cellStyle name="쉼표 [0] 11 3 2" xfId="36"/>
    <cellStyle name="쉼표 [0] 11 4" xfId="37"/>
    <cellStyle name="쉼표 [0] 11 4 2" xfId="38"/>
    <cellStyle name="쉼표 [0] 11 5" xfId="39"/>
    <cellStyle name="쉼표 [0] 12" xfId="40"/>
    <cellStyle name="쉼표 [0] 12 2" xfId="41"/>
    <cellStyle name="쉼표 [0] 12 2 2" xfId="42"/>
    <cellStyle name="쉼표 [0] 12 3" xfId="43"/>
    <cellStyle name="쉼표 [0] 12 3 2" xfId="44"/>
    <cellStyle name="쉼표 [0] 12 4" xfId="45"/>
    <cellStyle name="쉼표 [0] 13" xfId="46"/>
    <cellStyle name="쉼표 [0] 13 2" xfId="47"/>
    <cellStyle name="쉼표 [0] 15" xfId="48"/>
    <cellStyle name="쉼표 [0] 15 2" xfId="49"/>
    <cellStyle name="쉼표 [0] 15 2 2" xfId="50"/>
    <cellStyle name="쉼표 [0] 15 3" xfId="51"/>
    <cellStyle name="쉼표 [0] 15 3 2" xfId="52"/>
    <cellStyle name="쉼표 [0] 15 4" xfId="53"/>
    <cellStyle name="쉼표 [0] 16" xfId="54"/>
    <cellStyle name="쉼표 [0] 16 2" xfId="55"/>
    <cellStyle name="쉼표 [0] 16 2 2" xfId="56"/>
    <cellStyle name="쉼표 [0] 16 3" xfId="57"/>
    <cellStyle name="쉼표 [0] 16 3 2" xfId="58"/>
    <cellStyle name="쉼표 [0] 16 4" xfId="59"/>
    <cellStyle name="쉼표 [0] 19" xfId="60"/>
    <cellStyle name="쉼표 [0] 19 2" xfId="61"/>
    <cellStyle name="쉼표 [0] 19 2 2" xfId="62"/>
    <cellStyle name="쉼표 [0] 19 3" xfId="63"/>
    <cellStyle name="쉼표 [0] 19 3 2" xfId="64"/>
    <cellStyle name="쉼표 [0] 19 4" xfId="65"/>
    <cellStyle name="쉼표 [0] 2" xfId="66"/>
    <cellStyle name="쉼표 [0] 2 2" xfId="67"/>
    <cellStyle name="쉼표 [0] 2 2 2" xfId="68"/>
    <cellStyle name="쉼표 [0] 2 2 2 2" xfId="69"/>
    <cellStyle name="쉼표 [0] 2 2 2 2 2" xfId="70"/>
    <cellStyle name="쉼표 [0] 2 2 2 3" xfId="71"/>
    <cellStyle name="쉼표 [0] 2 2 3" xfId="72"/>
    <cellStyle name="쉼표 [0] 2 2 3 2" xfId="73"/>
    <cellStyle name="쉼표 [0] 2 2 4" xfId="74"/>
    <cellStyle name="쉼표 [0] 2 3" xfId="75"/>
    <cellStyle name="쉼표 [0] 2 3 2" xfId="76"/>
    <cellStyle name="쉼표 [0] 2 3 2 2" xfId="77"/>
    <cellStyle name="쉼표 [0] 2 3 2 2 2" xfId="78"/>
    <cellStyle name="쉼표 [0] 2 3 2 3" xfId="79"/>
    <cellStyle name="쉼표 [0] 2 3 3" xfId="80"/>
    <cellStyle name="쉼표 [0] 2 3 3 2" xfId="81"/>
    <cellStyle name="쉼표 [0] 2 3 4" xfId="82"/>
    <cellStyle name="쉼표 [0] 2 3 4 2" xfId="83"/>
    <cellStyle name="쉼표 [0] 2 3 5" xfId="84"/>
    <cellStyle name="쉼표 [0] 2 4" xfId="85"/>
    <cellStyle name="쉼표 [0] 2 4 2" xfId="86"/>
    <cellStyle name="쉼표 [0] 2 4 2 2" xfId="87"/>
    <cellStyle name="쉼표 [0] 2 4 3" xfId="88"/>
    <cellStyle name="쉼표 [0] 2 4 3 2" xfId="89"/>
    <cellStyle name="쉼표 [0] 2 4 4" xfId="90"/>
    <cellStyle name="쉼표 [0] 2 5" xfId="91"/>
    <cellStyle name="쉼표 [0] 2 5 2" xfId="92"/>
    <cellStyle name="쉼표 [0] 2 5 2 2" xfId="93"/>
    <cellStyle name="쉼표 [0] 2 5 3" xfId="94"/>
    <cellStyle name="쉼표 [0] 2 6" xfId="95"/>
    <cellStyle name="쉼표 [0] 20" xfId="96"/>
    <cellStyle name="쉼표 [0] 20 2" xfId="97"/>
    <cellStyle name="쉼표 [0] 20 2 2" xfId="98"/>
    <cellStyle name="쉼표 [0] 20 3" xfId="99"/>
    <cellStyle name="쉼표 [0] 20 3 2" xfId="100"/>
    <cellStyle name="쉼표 [0] 20 4" xfId="101"/>
    <cellStyle name="쉼표 [0] 23" xfId="102"/>
    <cellStyle name="쉼표 [0] 23 2" xfId="103"/>
    <cellStyle name="쉼표 [0] 23 2 2" xfId="104"/>
    <cellStyle name="쉼표 [0] 23 3" xfId="105"/>
    <cellStyle name="쉼표 [0] 23 3 2" xfId="106"/>
    <cellStyle name="쉼표 [0] 23 4" xfId="107"/>
    <cellStyle name="쉼표 [0] 24" xfId="108"/>
    <cellStyle name="쉼표 [0] 24 2" xfId="109"/>
    <cellStyle name="쉼표 [0] 24 2 2" xfId="110"/>
    <cellStyle name="쉼표 [0] 24 3" xfId="111"/>
    <cellStyle name="쉼표 [0] 24 3 2" xfId="112"/>
    <cellStyle name="쉼표 [0] 24 4" xfId="113"/>
    <cellStyle name="쉼표 [0] 27" xfId="114"/>
    <cellStyle name="쉼표 [0] 27 2" xfId="115"/>
    <cellStyle name="쉼표 [0] 27 2 2" xfId="116"/>
    <cellStyle name="쉼표 [0] 27 3" xfId="117"/>
    <cellStyle name="쉼표 [0] 27 3 2" xfId="118"/>
    <cellStyle name="쉼표 [0] 27 4" xfId="119"/>
    <cellStyle name="쉼표 [0] 28" xfId="120"/>
    <cellStyle name="쉼표 [0] 28 2" xfId="121"/>
    <cellStyle name="쉼표 [0] 28 2 2" xfId="122"/>
    <cellStyle name="쉼표 [0] 28 3" xfId="123"/>
    <cellStyle name="쉼표 [0] 28 3 2" xfId="124"/>
    <cellStyle name="쉼표 [0] 28 4" xfId="125"/>
    <cellStyle name="쉼표 [0] 3" xfId="126"/>
    <cellStyle name="쉼표 [0] 3 2" xfId="127"/>
    <cellStyle name="쉼표 [0] 3 2 2" xfId="128"/>
    <cellStyle name="쉼표 [0] 3 2 2 2" xfId="129"/>
    <cellStyle name="쉼표 [0] 3 2 3" xfId="130"/>
    <cellStyle name="쉼표 [0] 3 3" xfId="131"/>
    <cellStyle name="쉼표 [0] 3 3 2" xfId="132"/>
    <cellStyle name="쉼표 [0] 3 4" xfId="133"/>
    <cellStyle name="쉼표 [0] 31" xfId="134"/>
    <cellStyle name="쉼표 [0] 31 2" xfId="135"/>
    <cellStyle name="쉼표 [0] 31 2 2" xfId="136"/>
    <cellStyle name="쉼표 [0] 31 3" xfId="137"/>
    <cellStyle name="쉼표 [0] 31 3 2" xfId="138"/>
    <cellStyle name="쉼표 [0] 31 4" xfId="139"/>
    <cellStyle name="쉼표 [0] 32" xfId="140"/>
    <cellStyle name="쉼표 [0] 32 2" xfId="141"/>
    <cellStyle name="쉼표 [0] 32 2 2" xfId="142"/>
    <cellStyle name="쉼표 [0] 32 3" xfId="143"/>
    <cellStyle name="쉼표 [0] 32 3 2" xfId="144"/>
    <cellStyle name="쉼표 [0] 32 4" xfId="145"/>
    <cellStyle name="쉼표 [0] 35" xfId="146"/>
    <cellStyle name="쉼표 [0] 35 2" xfId="147"/>
    <cellStyle name="쉼표 [0] 35 2 2" xfId="148"/>
    <cellStyle name="쉼표 [0] 35 3" xfId="149"/>
    <cellStyle name="쉼표 [0] 35 3 2" xfId="150"/>
    <cellStyle name="쉼표 [0] 35 4" xfId="151"/>
    <cellStyle name="쉼표 [0] 36" xfId="152"/>
    <cellStyle name="쉼표 [0] 36 2" xfId="153"/>
    <cellStyle name="쉼표 [0] 36 2 2" xfId="154"/>
    <cellStyle name="쉼표 [0] 36 3" xfId="155"/>
    <cellStyle name="쉼표 [0] 36 3 2" xfId="156"/>
    <cellStyle name="쉼표 [0] 36 4" xfId="157"/>
    <cellStyle name="쉼표 [0] 39" xfId="158"/>
    <cellStyle name="쉼표 [0] 39 2" xfId="159"/>
    <cellStyle name="쉼표 [0] 39 2 2" xfId="160"/>
    <cellStyle name="쉼표 [0] 39 3" xfId="161"/>
    <cellStyle name="쉼표 [0] 39 3 2" xfId="162"/>
    <cellStyle name="쉼표 [0] 39 4" xfId="163"/>
    <cellStyle name="쉼표 [0] 4" xfId="164"/>
    <cellStyle name="쉼표 [0] 4 2" xfId="165"/>
    <cellStyle name="쉼표 [0] 4 2 2" xfId="166"/>
    <cellStyle name="쉼표 [0] 4 2 2 2" xfId="167"/>
    <cellStyle name="쉼표 [0] 4 2 3" xfId="168"/>
    <cellStyle name="쉼표 [0] 4 3" xfId="169"/>
    <cellStyle name="쉼표 [0] 4 3 2" xfId="170"/>
    <cellStyle name="쉼표 [0] 4 4" xfId="171"/>
    <cellStyle name="쉼표 [0] 40" xfId="172"/>
    <cellStyle name="쉼표 [0] 40 2" xfId="173"/>
    <cellStyle name="쉼표 [0] 40 2 2" xfId="174"/>
    <cellStyle name="쉼표 [0] 40 3" xfId="175"/>
    <cellStyle name="쉼표 [0] 40 3 2" xfId="176"/>
    <cellStyle name="쉼표 [0] 40 4" xfId="177"/>
    <cellStyle name="쉼표 [0] 43" xfId="178"/>
    <cellStyle name="쉼표 [0] 43 2" xfId="179"/>
    <cellStyle name="쉼표 [0] 43 2 2" xfId="180"/>
    <cellStyle name="쉼표 [0] 43 3" xfId="181"/>
    <cellStyle name="쉼표 [0] 43 3 2" xfId="182"/>
    <cellStyle name="쉼표 [0] 43 4" xfId="183"/>
    <cellStyle name="쉼표 [0] 44" xfId="184"/>
    <cellStyle name="쉼표 [0] 44 2" xfId="185"/>
    <cellStyle name="쉼표 [0] 44 2 2" xfId="186"/>
    <cellStyle name="쉼표 [0] 44 3" xfId="187"/>
    <cellStyle name="쉼표 [0] 44 3 2" xfId="188"/>
    <cellStyle name="쉼표 [0] 44 4" xfId="189"/>
    <cellStyle name="쉼표 [0] 47" xfId="190"/>
    <cellStyle name="쉼표 [0] 47 2" xfId="191"/>
    <cellStyle name="쉼표 [0] 47 2 2" xfId="192"/>
    <cellStyle name="쉼표 [0] 47 3" xfId="193"/>
    <cellStyle name="쉼표 [0] 47 3 2" xfId="194"/>
    <cellStyle name="쉼표 [0] 47 4" xfId="195"/>
    <cellStyle name="쉼표 [0] 48" xfId="196"/>
    <cellStyle name="쉼표 [0] 48 2" xfId="197"/>
    <cellStyle name="쉼표 [0] 48 2 2" xfId="198"/>
    <cellStyle name="쉼표 [0] 48 3" xfId="199"/>
    <cellStyle name="쉼표 [0] 48 3 2" xfId="200"/>
    <cellStyle name="쉼표 [0] 48 4" xfId="201"/>
    <cellStyle name="쉼표 [0] 5" xfId="202"/>
    <cellStyle name="쉼표 [0] 5 2" xfId="203"/>
    <cellStyle name="쉼표 [0] 5 2 2" xfId="204"/>
    <cellStyle name="쉼표 [0] 5 2 2 2" xfId="205"/>
    <cellStyle name="쉼표 [0] 5 2 3" xfId="206"/>
    <cellStyle name="쉼표 [0] 5 2 3 2" xfId="207"/>
    <cellStyle name="쉼표 [0] 5 2 4" xfId="208"/>
    <cellStyle name="쉼표 [0] 5 3" xfId="209"/>
    <cellStyle name="쉼표 [0] 5 3 2" xfId="210"/>
    <cellStyle name="쉼표 [0] 5 4" xfId="211"/>
    <cellStyle name="쉼표 [0] 5 4 2" xfId="212"/>
    <cellStyle name="쉼표 [0] 5 5" xfId="213"/>
    <cellStyle name="쉼표 [0] 6" xfId="214"/>
    <cellStyle name="쉼표 [0] 6 2" xfId="215"/>
    <cellStyle name="쉼표 [0] 6 2 2" xfId="216"/>
    <cellStyle name="쉼표 [0] 6 2 2 2" xfId="217"/>
    <cellStyle name="쉼표 [0] 6 2 3" xfId="218"/>
    <cellStyle name="쉼표 [0] 6 3" xfId="219"/>
    <cellStyle name="쉼표 [0] 6 3 2" xfId="220"/>
    <cellStyle name="쉼표 [0] 6 4" xfId="221"/>
    <cellStyle name="쉼표 [0] 7" xfId="222"/>
    <cellStyle name="쉼표 [0] 7 2" xfId="223"/>
    <cellStyle name="쉼표 [0] 7 2 2" xfId="224"/>
    <cellStyle name="쉼표 [0] 7 2 2 2" xfId="225"/>
    <cellStyle name="쉼표 [0] 7 2 3" xfId="226"/>
    <cellStyle name="쉼표 [0] 7 2 3 2" xfId="227"/>
    <cellStyle name="쉼표 [0] 7 2 4" xfId="228"/>
    <cellStyle name="쉼표 [0] 7 3" xfId="229"/>
    <cellStyle name="쉼표 [0] 7 3 2" xfId="230"/>
    <cellStyle name="쉼표 [0] 7 3 2 2" xfId="231"/>
    <cellStyle name="쉼표 [0] 7 3 3" xfId="232"/>
    <cellStyle name="쉼표 [0] 7 4" xfId="233"/>
    <cellStyle name="쉼표 [0] 7 4 2" xfId="234"/>
    <cellStyle name="쉼표 [0] 7 5" xfId="235"/>
    <cellStyle name="쉼표 [0] 8" xfId="236"/>
    <cellStyle name="쉼표 [0] 8 2" xfId="237"/>
    <cellStyle name="쉼표 [0] 8 2 2" xfId="238"/>
    <cellStyle name="쉼표 [0] 8 2 2 2" xfId="239"/>
    <cellStyle name="쉼표 [0] 8 2 3" xfId="240"/>
    <cellStyle name="쉼표 [0] 8 2 3 2" xfId="241"/>
    <cellStyle name="쉼표 [0] 8 2 4" xfId="242"/>
    <cellStyle name="쉼표 [0] 8 3" xfId="243"/>
    <cellStyle name="쉼표 [0] 8 3 2" xfId="244"/>
    <cellStyle name="쉼표 [0] 8 3 2 2" xfId="245"/>
    <cellStyle name="쉼표 [0] 8 3 3" xfId="246"/>
    <cellStyle name="쉼표 [0] 8 4" xfId="247"/>
    <cellStyle name="쉼표 [0] 8 4 2" xfId="248"/>
    <cellStyle name="쉼표 [0] 8 5" xfId="249"/>
    <cellStyle name="쉼표 [0] 9" xfId="250"/>
    <cellStyle name="쉼표 [0] 9 2" xfId="251"/>
    <cellStyle name="쉼표 [0] 9 2 2" xfId="252"/>
    <cellStyle name="쉼표 [0] 9 3" xfId="253"/>
    <cellStyle name="표준 10" xfId="254"/>
    <cellStyle name="표준 10 10 2" xfId="255"/>
    <cellStyle name="표준 10 2" xfId="256"/>
    <cellStyle name="표준 11" xfId="257"/>
    <cellStyle name="표준 11 2" xfId="258"/>
    <cellStyle name="표준 12" xfId="259"/>
    <cellStyle name="표준 13" xfId="260"/>
    <cellStyle name="표준 14" xfId="261"/>
    <cellStyle name="표준 14 2" xfId="262"/>
    <cellStyle name="표준 15" xfId="263"/>
    <cellStyle name="표준 15 2" xfId="264"/>
    <cellStyle name="표준 16" xfId="265"/>
    <cellStyle name="표준 17" xfId="266"/>
    <cellStyle name="표준 18" xfId="267"/>
    <cellStyle name="표준 18 2" xfId="268"/>
    <cellStyle name="표준 19" xfId="269"/>
    <cellStyle name="표준 19 2" xfId="270"/>
    <cellStyle name="표준 2" xfId="271"/>
    <cellStyle name="표준 2 2" xfId="272"/>
    <cellStyle name="표준 2 2 2" xfId="273"/>
    <cellStyle name="표준 2 2 3" xfId="274"/>
    <cellStyle name="표준 2 3" xfId="275"/>
    <cellStyle name="표준 2 3 2" xfId="276"/>
    <cellStyle name="표준 2 3 2 2" xfId="277"/>
    <cellStyle name="표준 2 4" xfId="278"/>
    <cellStyle name="표준 2 5" xfId="279"/>
    <cellStyle name="표준 2 6" xfId="280"/>
    <cellStyle name="표준 20" xfId="281"/>
    <cellStyle name="표준 21" xfId="282"/>
    <cellStyle name="표준 22" xfId="283"/>
    <cellStyle name="표준 22 2" xfId="284"/>
    <cellStyle name="표준 23" xfId="285"/>
    <cellStyle name="표준 23 2" xfId="286"/>
    <cellStyle name="표준 24" xfId="287"/>
    <cellStyle name="표준 25" xfId="288"/>
    <cellStyle name="표준 26" xfId="289"/>
    <cellStyle name="표준 26 2" xfId="290"/>
    <cellStyle name="표준 27" xfId="291"/>
    <cellStyle name="표준 27 2" xfId="292"/>
    <cellStyle name="표준 28" xfId="293"/>
    <cellStyle name="표준 29" xfId="294"/>
    <cellStyle name="표준 3" xfId="295"/>
    <cellStyle name="표준 3 2" xfId="296"/>
    <cellStyle name="표준 3 2 2" xfId="297"/>
    <cellStyle name="표준 3 3" xfId="298"/>
    <cellStyle name="표준 3 4" xfId="299"/>
    <cellStyle name="표준 30" xfId="300"/>
    <cellStyle name="표준 30 2" xfId="301"/>
    <cellStyle name="표준 31" xfId="302"/>
    <cellStyle name="표준 31 2" xfId="303"/>
    <cellStyle name="표준 32" xfId="304"/>
    <cellStyle name="표준 33" xfId="305"/>
    <cellStyle name="표준 34" xfId="306"/>
    <cellStyle name="표준 35" xfId="307"/>
    <cellStyle name="표준 36" xfId="308"/>
    <cellStyle name="표준 37" xfId="309"/>
    <cellStyle name="표준 38" xfId="310"/>
    <cellStyle name="표준 39" xfId="311"/>
    <cellStyle name="표준 4" xfId="312"/>
    <cellStyle name="표준 4 2" xfId="313"/>
    <cellStyle name="표준 4 3" xfId="314"/>
    <cellStyle name="표준 4 3 2" xfId="315"/>
    <cellStyle name="표준 4 4" xfId="316"/>
    <cellStyle name="표준 40" xfId="317"/>
    <cellStyle name="표준 41" xfId="318"/>
    <cellStyle name="표준 42" xfId="319"/>
    <cellStyle name="표준 43" xfId="320"/>
    <cellStyle name="표준 44" xfId="321"/>
    <cellStyle name="표준 45" xfId="322"/>
    <cellStyle name="표준 46" xfId="323"/>
    <cellStyle name="표준 47" xfId="324"/>
    <cellStyle name="표준 48" xfId="325"/>
    <cellStyle name="표준 49" xfId="326"/>
    <cellStyle name="표준 5" xfId="327"/>
    <cellStyle name="표준 5 2" xfId="328"/>
    <cellStyle name="표준 5 2 2" xfId="329"/>
    <cellStyle name="표준 5 3" xfId="330"/>
    <cellStyle name="표준 5 4" xfId="331"/>
    <cellStyle name="표준 50" xfId="332"/>
    <cellStyle name="표준 51" xfId="333"/>
    <cellStyle name="표준 52" xfId="334"/>
    <cellStyle name="표준 53" xfId="335"/>
    <cellStyle name="표준 54" xfId="336"/>
    <cellStyle name="표준 55" xfId="337"/>
    <cellStyle name="표준 56" xfId="338"/>
    <cellStyle name="표준 57" xfId="339"/>
    <cellStyle name="표준 58" xfId="340"/>
    <cellStyle name="표준 59" xfId="341"/>
    <cellStyle name="표준 6" xfId="342"/>
    <cellStyle name="표준 6 2" xfId="343"/>
    <cellStyle name="표준 6 3" xfId="344"/>
    <cellStyle name="표준 60" xfId="345"/>
    <cellStyle name="표준 61" xfId="346"/>
    <cellStyle name="표준 62" xfId="347"/>
    <cellStyle name="표준 63" xfId="348"/>
    <cellStyle name="표준 64" xfId="349"/>
    <cellStyle name="표준 65" xfId="350"/>
    <cellStyle name="표준 66" xfId="351"/>
    <cellStyle name="표준 67" xfId="352"/>
    <cellStyle name="표준 68" xfId="353"/>
    <cellStyle name="표준 7" xfId="354"/>
    <cellStyle name="표준 7 2" xfId="355"/>
    <cellStyle name="표준 8" xfId="356"/>
    <cellStyle name="표준 8 2" xfId="357"/>
    <cellStyle name="표준 9" xfId="358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E82076"/>
      <rgbColor rgb="FFF2F2F2"/>
      <rgbColor rgb="FFEDEDED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E7E6E6"/>
      <rgbColor rgb="FFFFFF99"/>
      <rgbColor rgb="FFBFBFBF"/>
      <rgbColor rgb="FFF4B183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18F8F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239760</xdr:colOff>
      <xdr:row>18</xdr:row>
      <xdr:rowOff>149760</xdr:rowOff>
    </xdr:from>
    <xdr:to>
      <xdr:col>29</xdr:col>
      <xdr:colOff>257040</xdr:colOff>
      <xdr:row>41</xdr:row>
      <xdr:rowOff>189360</xdr:rowOff>
    </xdr:to>
    <xdr:pic>
      <xdr:nvPicPr>
        <xdr:cNvPr id="0" name="그림 1" descr=""/>
        <xdr:cNvPicPr/>
      </xdr:nvPicPr>
      <xdr:blipFill>
        <a:blip r:embed="rId1"/>
        <a:stretch/>
      </xdr:blipFill>
      <xdr:spPr>
        <a:xfrm>
          <a:off x="17806320" y="4464720"/>
          <a:ext cx="4640040" cy="5421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1069920</xdr:colOff>
      <xdr:row>32</xdr:row>
      <xdr:rowOff>0</xdr:rowOff>
    </xdr:from>
    <xdr:to>
      <xdr:col>36</xdr:col>
      <xdr:colOff>129960</xdr:colOff>
      <xdr:row>65</xdr:row>
      <xdr:rowOff>2160</xdr:rowOff>
    </xdr:to>
    <xdr:pic>
      <xdr:nvPicPr>
        <xdr:cNvPr id="1" name="그림 1" descr=""/>
        <xdr:cNvPicPr/>
      </xdr:nvPicPr>
      <xdr:blipFill>
        <a:blip r:embed="rId1"/>
        <a:stretch/>
      </xdr:blipFill>
      <xdr:spPr>
        <a:xfrm>
          <a:off x="23490360" y="8153280"/>
          <a:ext cx="7514640" cy="6365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G:/KOMOS%20&#51088;&#47308;/2004&#45380;/&#45380;&#47568;&#44208;&#49328;&#51088;&#47308;/&#44228;&#51221;&#47749;&#49464;&#49436;/&#47928;&#49436;&#48149;&#49828;/&#48155;&#51008;%20&#54028;&#51068;/02STS&#44208;&#49328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D:/Dropbox/10.%20&#50864;&#47532;&#51064;&#53552;&#53581;&#49828;_&#51064;&#49324;&amp;&#44592;&#53440;/5.%20&#49324;&#50629;&#44228;&#54925;%20&#51473;&#51109;&#44592;&#44228;&#54925;/2018&#45380;%20&#49324;&#50629;&#44228;&#54925;/3.%202018&#45380;%20&#49324;&#50629;&#44228;&#54925;_&#51116;&#47924;&#51228;&#54364;&#52628;&#51221;_(&#48708;&#51228;&#51312;,171106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누TB"/>
      <sheetName val="BS"/>
      <sheetName val="누PL"/>
      <sheetName val="누제조"/>
      <sheetName val="누이익"/>
      <sheetName val="누현금 "/>
      <sheetName val="퇴직금 T.O.T"/>
      <sheetName val="Tickmarks"/>
      <sheetName val="#REF"/>
      <sheetName val="02STS결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기본정보"/>
      <sheetName val="PPT 작성용.분기별손익계산서"/>
      <sheetName val="PPT 작성용.재무상태"/>
      <sheetName val="PPT 작성용.분기별현금흐름표"/>
      <sheetName val="월별손익계산서"/>
      <sheetName val="월별현금흐름표"/>
      <sheetName val="월별재무상태표"/>
      <sheetName val="2018년&gt;&gt;&gt;"/>
      <sheetName val="18 통합"/>
      <sheetName val="18 우리"/>
      <sheetName val="18 우영"/>
      <sheetName val="2017년&gt;&gt;"/>
      <sheetName val="17 통합"/>
      <sheetName val="17 우리"/>
      <sheetName val="17 우영"/>
      <sheetName val="우리인터텍스 양식 back data&gt;&gt;"/>
      <sheetName val="매출계획"/>
      <sheetName val="인건비"/>
      <sheetName val="감가상각비 (2)"/>
      <sheetName val="외상매출금"/>
      <sheetName val="관리포인트_발주현황"/>
      <sheetName val="Pivot_order 별 매출총이익"/>
      <sheetName val="pivot_거래처별"/>
      <sheetName val="pivot_아이템별매출"/>
      <sheetName val="pivot_shortage"/>
      <sheetName val="정산서"/>
      <sheetName val="16FW"/>
      <sheetName val="17SS"/>
      <sheetName val="17FW"/>
      <sheetName val="한남동 양식&gt;&gt;&gt;"/>
      <sheetName val="투자계획(CAPEX)"/>
      <sheetName val="감가상각비"/>
      <sheetName val="차입금현황&amp;한도잔액변동추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2076"/>
    <pageSetUpPr fitToPage="true"/>
  </sheetPr>
  <dimension ref="A1:I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40234375" defaultRowHeight="18.75" zeroHeight="false" outlineLevelRow="0" outlineLevelCol="0"/>
  <cols>
    <col collapsed="false" customWidth="true" hidden="false" outlineLevel="0" max="1" min="1" style="1" width="1.6"/>
    <col collapsed="false" customWidth="true" hidden="false" outlineLevel="0" max="4" min="2" style="1" width="11.4"/>
    <col collapsed="false" customWidth="true" hidden="false" outlineLevel="0" max="5" min="5" style="1" width="5.6"/>
    <col collapsed="false" customWidth="true" hidden="false" outlineLevel="0" max="10" min="6" style="1" width="7.6"/>
    <col collapsed="false" customWidth="true" hidden="false" outlineLevel="0" max="11" min="11" style="1" width="5.6"/>
    <col collapsed="false" customWidth="true" hidden="false" outlineLevel="0" max="12" min="12" style="1" width="11.4"/>
    <col collapsed="false" customWidth="true" hidden="false" outlineLevel="0" max="13" min="13" style="1" width="14"/>
    <col collapsed="false" customWidth="true" hidden="false" outlineLevel="0" max="14" min="14" style="1" width="11.4"/>
    <col collapsed="false" customWidth="true" hidden="false" outlineLevel="0" max="16" min="15" style="1" width="1.6"/>
    <col collapsed="false" customWidth="true" hidden="false" outlineLevel="0" max="17" min="17" style="1" width="8.6"/>
    <col collapsed="false" customWidth="true" hidden="false" outlineLevel="0" max="18" min="18" style="1" width="1.6"/>
    <col collapsed="false" customWidth="false" hidden="false" outlineLevel="0" max="254" min="19" style="1" width="10.4"/>
    <col collapsed="false" customWidth="false" hidden="false" outlineLevel="0" max="255" min="255" style="2" width="10.4"/>
    <col collapsed="false" customWidth="true" hidden="false" outlineLevel="0" max="259" min="256" style="2" width="11.1"/>
    <col collapsed="false" customWidth="true" hidden="false" outlineLevel="0" max="266" min="260" style="2" width="6.9"/>
    <col collapsed="false" customWidth="true" hidden="false" outlineLevel="0" max="270" min="267" style="2" width="11.1"/>
    <col collapsed="false" customWidth="false" hidden="false" outlineLevel="0" max="511" min="271" style="2" width="10.4"/>
    <col collapsed="false" customWidth="true" hidden="false" outlineLevel="0" max="515" min="512" style="2" width="11.1"/>
    <col collapsed="false" customWidth="true" hidden="false" outlineLevel="0" max="522" min="516" style="2" width="6.9"/>
    <col collapsed="false" customWidth="true" hidden="false" outlineLevel="0" max="526" min="523" style="2" width="11.1"/>
    <col collapsed="false" customWidth="false" hidden="false" outlineLevel="0" max="767" min="527" style="2" width="10.4"/>
    <col collapsed="false" customWidth="true" hidden="false" outlineLevel="0" max="771" min="768" style="2" width="11.1"/>
    <col collapsed="false" customWidth="true" hidden="false" outlineLevel="0" max="778" min="772" style="2" width="6.9"/>
    <col collapsed="false" customWidth="true" hidden="false" outlineLevel="0" max="782" min="779" style="2" width="11.1"/>
    <col collapsed="false" customWidth="false" hidden="false" outlineLevel="0" max="1023" min="783" style="2" width="10.4"/>
    <col collapsed="false" customWidth="true" hidden="false" outlineLevel="0" max="1027" min="1024" style="2" width="11.1"/>
    <col collapsed="false" customWidth="true" hidden="false" outlineLevel="0" max="1034" min="1028" style="2" width="6.9"/>
    <col collapsed="false" customWidth="true" hidden="false" outlineLevel="0" max="1038" min="1035" style="2" width="11.1"/>
    <col collapsed="false" customWidth="false" hidden="false" outlineLevel="0" max="1279" min="1039" style="2" width="10.4"/>
    <col collapsed="false" customWidth="true" hidden="false" outlineLevel="0" max="1283" min="1280" style="2" width="11.1"/>
    <col collapsed="false" customWidth="true" hidden="false" outlineLevel="0" max="1290" min="1284" style="2" width="6.9"/>
    <col collapsed="false" customWidth="true" hidden="false" outlineLevel="0" max="1294" min="1291" style="2" width="11.1"/>
    <col collapsed="false" customWidth="false" hidden="false" outlineLevel="0" max="1535" min="1295" style="2" width="10.4"/>
    <col collapsed="false" customWidth="true" hidden="false" outlineLevel="0" max="1539" min="1536" style="2" width="11.1"/>
    <col collapsed="false" customWidth="true" hidden="false" outlineLevel="0" max="1546" min="1540" style="2" width="6.9"/>
    <col collapsed="false" customWidth="true" hidden="false" outlineLevel="0" max="1550" min="1547" style="2" width="11.1"/>
    <col collapsed="false" customWidth="false" hidden="false" outlineLevel="0" max="1791" min="1551" style="2" width="10.4"/>
    <col collapsed="false" customWidth="true" hidden="false" outlineLevel="0" max="1795" min="1792" style="2" width="11.1"/>
    <col collapsed="false" customWidth="true" hidden="false" outlineLevel="0" max="1802" min="1796" style="2" width="6.9"/>
    <col collapsed="false" customWidth="true" hidden="false" outlineLevel="0" max="1806" min="1803" style="2" width="11.1"/>
    <col collapsed="false" customWidth="false" hidden="false" outlineLevel="0" max="2047" min="1807" style="2" width="10.4"/>
    <col collapsed="false" customWidth="true" hidden="false" outlineLevel="0" max="2051" min="2048" style="2" width="11.1"/>
    <col collapsed="false" customWidth="true" hidden="false" outlineLevel="0" max="2058" min="2052" style="2" width="6.9"/>
    <col collapsed="false" customWidth="true" hidden="false" outlineLevel="0" max="2062" min="2059" style="2" width="11.1"/>
    <col collapsed="false" customWidth="false" hidden="false" outlineLevel="0" max="2303" min="2063" style="2" width="10.4"/>
    <col collapsed="false" customWidth="true" hidden="false" outlineLevel="0" max="2307" min="2304" style="2" width="11.1"/>
    <col collapsed="false" customWidth="true" hidden="false" outlineLevel="0" max="2314" min="2308" style="2" width="6.9"/>
    <col collapsed="false" customWidth="true" hidden="false" outlineLevel="0" max="2318" min="2315" style="2" width="11.1"/>
    <col collapsed="false" customWidth="false" hidden="false" outlineLevel="0" max="2559" min="2319" style="2" width="10.4"/>
    <col collapsed="false" customWidth="true" hidden="false" outlineLevel="0" max="2563" min="2560" style="2" width="11.1"/>
    <col collapsed="false" customWidth="true" hidden="false" outlineLevel="0" max="2570" min="2564" style="2" width="6.9"/>
    <col collapsed="false" customWidth="true" hidden="false" outlineLevel="0" max="2574" min="2571" style="2" width="11.1"/>
    <col collapsed="false" customWidth="false" hidden="false" outlineLevel="0" max="2815" min="2575" style="2" width="10.4"/>
    <col collapsed="false" customWidth="true" hidden="false" outlineLevel="0" max="2819" min="2816" style="2" width="11.1"/>
    <col collapsed="false" customWidth="true" hidden="false" outlineLevel="0" max="2826" min="2820" style="2" width="6.9"/>
    <col collapsed="false" customWidth="true" hidden="false" outlineLevel="0" max="2830" min="2827" style="2" width="11.1"/>
    <col collapsed="false" customWidth="false" hidden="false" outlineLevel="0" max="3071" min="2831" style="2" width="10.4"/>
    <col collapsed="false" customWidth="true" hidden="false" outlineLevel="0" max="3075" min="3072" style="2" width="11.1"/>
    <col collapsed="false" customWidth="true" hidden="false" outlineLevel="0" max="3082" min="3076" style="2" width="6.9"/>
    <col collapsed="false" customWidth="true" hidden="false" outlineLevel="0" max="3086" min="3083" style="2" width="11.1"/>
    <col collapsed="false" customWidth="false" hidden="false" outlineLevel="0" max="3327" min="3087" style="2" width="10.4"/>
    <col collapsed="false" customWidth="true" hidden="false" outlineLevel="0" max="3331" min="3328" style="2" width="11.1"/>
    <col collapsed="false" customWidth="true" hidden="false" outlineLevel="0" max="3338" min="3332" style="2" width="6.9"/>
    <col collapsed="false" customWidth="true" hidden="false" outlineLevel="0" max="3342" min="3339" style="2" width="11.1"/>
    <col collapsed="false" customWidth="false" hidden="false" outlineLevel="0" max="3583" min="3343" style="2" width="10.4"/>
    <col collapsed="false" customWidth="true" hidden="false" outlineLevel="0" max="3587" min="3584" style="2" width="11.1"/>
    <col collapsed="false" customWidth="true" hidden="false" outlineLevel="0" max="3594" min="3588" style="2" width="6.9"/>
    <col collapsed="false" customWidth="true" hidden="false" outlineLevel="0" max="3598" min="3595" style="2" width="11.1"/>
    <col collapsed="false" customWidth="false" hidden="false" outlineLevel="0" max="3839" min="3599" style="2" width="10.4"/>
    <col collapsed="false" customWidth="true" hidden="false" outlineLevel="0" max="3843" min="3840" style="2" width="11.1"/>
    <col collapsed="false" customWidth="true" hidden="false" outlineLevel="0" max="3850" min="3844" style="2" width="6.9"/>
    <col collapsed="false" customWidth="true" hidden="false" outlineLevel="0" max="3854" min="3851" style="2" width="11.1"/>
    <col collapsed="false" customWidth="false" hidden="false" outlineLevel="0" max="4095" min="3855" style="2" width="10.4"/>
    <col collapsed="false" customWidth="true" hidden="false" outlineLevel="0" max="4099" min="4096" style="2" width="11.1"/>
    <col collapsed="false" customWidth="true" hidden="false" outlineLevel="0" max="4106" min="4100" style="2" width="6.9"/>
    <col collapsed="false" customWidth="true" hidden="false" outlineLevel="0" max="4110" min="4107" style="2" width="11.1"/>
    <col collapsed="false" customWidth="false" hidden="false" outlineLevel="0" max="4351" min="4111" style="2" width="10.4"/>
    <col collapsed="false" customWidth="true" hidden="false" outlineLevel="0" max="4355" min="4352" style="2" width="11.1"/>
    <col collapsed="false" customWidth="true" hidden="false" outlineLevel="0" max="4362" min="4356" style="2" width="6.9"/>
    <col collapsed="false" customWidth="true" hidden="false" outlineLevel="0" max="4366" min="4363" style="2" width="11.1"/>
    <col collapsed="false" customWidth="false" hidden="false" outlineLevel="0" max="4607" min="4367" style="2" width="10.4"/>
    <col collapsed="false" customWidth="true" hidden="false" outlineLevel="0" max="4611" min="4608" style="2" width="11.1"/>
    <col collapsed="false" customWidth="true" hidden="false" outlineLevel="0" max="4618" min="4612" style="2" width="6.9"/>
    <col collapsed="false" customWidth="true" hidden="false" outlineLevel="0" max="4622" min="4619" style="2" width="11.1"/>
    <col collapsed="false" customWidth="false" hidden="false" outlineLevel="0" max="4863" min="4623" style="2" width="10.4"/>
    <col collapsed="false" customWidth="true" hidden="false" outlineLevel="0" max="4867" min="4864" style="2" width="11.1"/>
    <col collapsed="false" customWidth="true" hidden="false" outlineLevel="0" max="4874" min="4868" style="2" width="6.9"/>
    <col collapsed="false" customWidth="true" hidden="false" outlineLevel="0" max="4878" min="4875" style="2" width="11.1"/>
    <col collapsed="false" customWidth="false" hidden="false" outlineLevel="0" max="5119" min="4879" style="2" width="10.4"/>
    <col collapsed="false" customWidth="true" hidden="false" outlineLevel="0" max="5123" min="5120" style="2" width="11.1"/>
    <col collapsed="false" customWidth="true" hidden="false" outlineLevel="0" max="5130" min="5124" style="2" width="6.9"/>
    <col collapsed="false" customWidth="true" hidden="false" outlineLevel="0" max="5134" min="5131" style="2" width="11.1"/>
    <col collapsed="false" customWidth="false" hidden="false" outlineLevel="0" max="5375" min="5135" style="2" width="10.4"/>
    <col collapsed="false" customWidth="true" hidden="false" outlineLevel="0" max="5379" min="5376" style="2" width="11.1"/>
    <col collapsed="false" customWidth="true" hidden="false" outlineLevel="0" max="5386" min="5380" style="2" width="6.9"/>
    <col collapsed="false" customWidth="true" hidden="false" outlineLevel="0" max="5390" min="5387" style="2" width="11.1"/>
    <col collapsed="false" customWidth="false" hidden="false" outlineLevel="0" max="5631" min="5391" style="2" width="10.4"/>
    <col collapsed="false" customWidth="true" hidden="false" outlineLevel="0" max="5635" min="5632" style="2" width="11.1"/>
    <col collapsed="false" customWidth="true" hidden="false" outlineLevel="0" max="5642" min="5636" style="2" width="6.9"/>
    <col collapsed="false" customWidth="true" hidden="false" outlineLevel="0" max="5646" min="5643" style="2" width="11.1"/>
    <col collapsed="false" customWidth="false" hidden="false" outlineLevel="0" max="5887" min="5647" style="2" width="10.4"/>
    <col collapsed="false" customWidth="true" hidden="false" outlineLevel="0" max="5891" min="5888" style="2" width="11.1"/>
    <col collapsed="false" customWidth="true" hidden="false" outlineLevel="0" max="5898" min="5892" style="2" width="6.9"/>
    <col collapsed="false" customWidth="true" hidden="false" outlineLevel="0" max="5902" min="5899" style="2" width="11.1"/>
    <col collapsed="false" customWidth="false" hidden="false" outlineLevel="0" max="6143" min="5903" style="2" width="10.4"/>
    <col collapsed="false" customWidth="true" hidden="false" outlineLevel="0" max="6147" min="6144" style="2" width="11.1"/>
    <col collapsed="false" customWidth="true" hidden="false" outlineLevel="0" max="6154" min="6148" style="2" width="6.9"/>
    <col collapsed="false" customWidth="true" hidden="false" outlineLevel="0" max="6158" min="6155" style="2" width="11.1"/>
    <col collapsed="false" customWidth="false" hidden="false" outlineLevel="0" max="6399" min="6159" style="2" width="10.4"/>
    <col collapsed="false" customWidth="true" hidden="false" outlineLevel="0" max="6403" min="6400" style="2" width="11.1"/>
    <col collapsed="false" customWidth="true" hidden="false" outlineLevel="0" max="6410" min="6404" style="2" width="6.9"/>
    <col collapsed="false" customWidth="true" hidden="false" outlineLevel="0" max="6414" min="6411" style="2" width="11.1"/>
    <col collapsed="false" customWidth="false" hidden="false" outlineLevel="0" max="6655" min="6415" style="2" width="10.4"/>
    <col collapsed="false" customWidth="true" hidden="false" outlineLevel="0" max="6659" min="6656" style="2" width="11.1"/>
    <col collapsed="false" customWidth="true" hidden="false" outlineLevel="0" max="6666" min="6660" style="2" width="6.9"/>
    <col collapsed="false" customWidth="true" hidden="false" outlineLevel="0" max="6670" min="6667" style="2" width="11.1"/>
    <col collapsed="false" customWidth="false" hidden="false" outlineLevel="0" max="6911" min="6671" style="2" width="10.4"/>
    <col collapsed="false" customWidth="true" hidden="false" outlineLevel="0" max="6915" min="6912" style="2" width="11.1"/>
    <col collapsed="false" customWidth="true" hidden="false" outlineLevel="0" max="6922" min="6916" style="2" width="6.9"/>
    <col collapsed="false" customWidth="true" hidden="false" outlineLevel="0" max="6926" min="6923" style="2" width="11.1"/>
    <col collapsed="false" customWidth="false" hidden="false" outlineLevel="0" max="7167" min="6927" style="2" width="10.4"/>
    <col collapsed="false" customWidth="true" hidden="false" outlineLevel="0" max="7171" min="7168" style="2" width="11.1"/>
    <col collapsed="false" customWidth="true" hidden="false" outlineLevel="0" max="7178" min="7172" style="2" width="6.9"/>
    <col collapsed="false" customWidth="true" hidden="false" outlineLevel="0" max="7182" min="7179" style="2" width="11.1"/>
    <col collapsed="false" customWidth="false" hidden="false" outlineLevel="0" max="7423" min="7183" style="2" width="10.4"/>
    <col collapsed="false" customWidth="true" hidden="false" outlineLevel="0" max="7427" min="7424" style="2" width="11.1"/>
    <col collapsed="false" customWidth="true" hidden="false" outlineLevel="0" max="7434" min="7428" style="2" width="6.9"/>
    <col collapsed="false" customWidth="true" hidden="false" outlineLevel="0" max="7438" min="7435" style="2" width="11.1"/>
    <col collapsed="false" customWidth="false" hidden="false" outlineLevel="0" max="7679" min="7439" style="2" width="10.4"/>
    <col collapsed="false" customWidth="true" hidden="false" outlineLevel="0" max="7683" min="7680" style="2" width="11.1"/>
    <col collapsed="false" customWidth="true" hidden="false" outlineLevel="0" max="7690" min="7684" style="2" width="6.9"/>
    <col collapsed="false" customWidth="true" hidden="false" outlineLevel="0" max="7694" min="7691" style="2" width="11.1"/>
    <col collapsed="false" customWidth="false" hidden="false" outlineLevel="0" max="7935" min="7695" style="2" width="10.4"/>
    <col collapsed="false" customWidth="true" hidden="false" outlineLevel="0" max="7939" min="7936" style="2" width="11.1"/>
    <col collapsed="false" customWidth="true" hidden="false" outlineLevel="0" max="7946" min="7940" style="2" width="6.9"/>
    <col collapsed="false" customWidth="true" hidden="false" outlineLevel="0" max="7950" min="7947" style="2" width="11.1"/>
    <col collapsed="false" customWidth="false" hidden="false" outlineLevel="0" max="8191" min="7951" style="2" width="10.4"/>
    <col collapsed="false" customWidth="true" hidden="false" outlineLevel="0" max="8195" min="8192" style="2" width="11.1"/>
    <col collapsed="false" customWidth="true" hidden="false" outlineLevel="0" max="8202" min="8196" style="2" width="6.9"/>
    <col collapsed="false" customWidth="true" hidden="false" outlineLevel="0" max="8206" min="8203" style="2" width="11.1"/>
    <col collapsed="false" customWidth="false" hidden="false" outlineLevel="0" max="8447" min="8207" style="2" width="10.4"/>
    <col collapsed="false" customWidth="true" hidden="false" outlineLevel="0" max="8451" min="8448" style="2" width="11.1"/>
    <col collapsed="false" customWidth="true" hidden="false" outlineLevel="0" max="8458" min="8452" style="2" width="6.9"/>
    <col collapsed="false" customWidth="true" hidden="false" outlineLevel="0" max="8462" min="8459" style="2" width="11.1"/>
    <col collapsed="false" customWidth="false" hidden="false" outlineLevel="0" max="8703" min="8463" style="2" width="10.4"/>
    <col collapsed="false" customWidth="true" hidden="false" outlineLevel="0" max="8707" min="8704" style="2" width="11.1"/>
    <col collapsed="false" customWidth="true" hidden="false" outlineLevel="0" max="8714" min="8708" style="2" width="6.9"/>
    <col collapsed="false" customWidth="true" hidden="false" outlineLevel="0" max="8718" min="8715" style="2" width="11.1"/>
    <col collapsed="false" customWidth="false" hidden="false" outlineLevel="0" max="8959" min="8719" style="2" width="10.4"/>
    <col collapsed="false" customWidth="true" hidden="false" outlineLevel="0" max="8963" min="8960" style="2" width="11.1"/>
    <col collapsed="false" customWidth="true" hidden="false" outlineLevel="0" max="8970" min="8964" style="2" width="6.9"/>
    <col collapsed="false" customWidth="true" hidden="false" outlineLevel="0" max="8974" min="8971" style="2" width="11.1"/>
    <col collapsed="false" customWidth="false" hidden="false" outlineLevel="0" max="9215" min="8975" style="2" width="10.4"/>
    <col collapsed="false" customWidth="true" hidden="false" outlineLevel="0" max="9219" min="9216" style="2" width="11.1"/>
    <col collapsed="false" customWidth="true" hidden="false" outlineLevel="0" max="9226" min="9220" style="2" width="6.9"/>
    <col collapsed="false" customWidth="true" hidden="false" outlineLevel="0" max="9230" min="9227" style="2" width="11.1"/>
    <col collapsed="false" customWidth="false" hidden="false" outlineLevel="0" max="9471" min="9231" style="2" width="10.4"/>
    <col collapsed="false" customWidth="true" hidden="false" outlineLevel="0" max="9475" min="9472" style="2" width="11.1"/>
    <col collapsed="false" customWidth="true" hidden="false" outlineLevel="0" max="9482" min="9476" style="2" width="6.9"/>
    <col collapsed="false" customWidth="true" hidden="false" outlineLevel="0" max="9486" min="9483" style="2" width="11.1"/>
    <col collapsed="false" customWidth="false" hidden="false" outlineLevel="0" max="9727" min="9487" style="2" width="10.4"/>
    <col collapsed="false" customWidth="true" hidden="false" outlineLevel="0" max="9731" min="9728" style="2" width="11.1"/>
    <col collapsed="false" customWidth="true" hidden="false" outlineLevel="0" max="9738" min="9732" style="2" width="6.9"/>
    <col collapsed="false" customWidth="true" hidden="false" outlineLevel="0" max="9742" min="9739" style="2" width="11.1"/>
    <col collapsed="false" customWidth="false" hidden="false" outlineLevel="0" max="9983" min="9743" style="2" width="10.4"/>
    <col collapsed="false" customWidth="true" hidden="false" outlineLevel="0" max="9987" min="9984" style="2" width="11.1"/>
    <col collapsed="false" customWidth="true" hidden="false" outlineLevel="0" max="9994" min="9988" style="2" width="6.9"/>
    <col collapsed="false" customWidth="true" hidden="false" outlineLevel="0" max="9998" min="9995" style="2" width="11.1"/>
    <col collapsed="false" customWidth="false" hidden="false" outlineLevel="0" max="10239" min="9999" style="2" width="10.4"/>
    <col collapsed="false" customWidth="true" hidden="false" outlineLevel="0" max="10243" min="10240" style="2" width="11.1"/>
    <col collapsed="false" customWidth="true" hidden="false" outlineLevel="0" max="10250" min="10244" style="2" width="6.9"/>
    <col collapsed="false" customWidth="true" hidden="false" outlineLevel="0" max="10254" min="10251" style="2" width="11.1"/>
    <col collapsed="false" customWidth="false" hidden="false" outlineLevel="0" max="10495" min="10255" style="2" width="10.4"/>
    <col collapsed="false" customWidth="true" hidden="false" outlineLevel="0" max="10499" min="10496" style="2" width="11.1"/>
    <col collapsed="false" customWidth="true" hidden="false" outlineLevel="0" max="10506" min="10500" style="2" width="6.9"/>
    <col collapsed="false" customWidth="true" hidden="false" outlineLevel="0" max="10510" min="10507" style="2" width="11.1"/>
    <col collapsed="false" customWidth="false" hidden="false" outlineLevel="0" max="10751" min="10511" style="2" width="10.4"/>
    <col collapsed="false" customWidth="true" hidden="false" outlineLevel="0" max="10755" min="10752" style="2" width="11.1"/>
    <col collapsed="false" customWidth="true" hidden="false" outlineLevel="0" max="10762" min="10756" style="2" width="6.9"/>
    <col collapsed="false" customWidth="true" hidden="false" outlineLevel="0" max="10766" min="10763" style="2" width="11.1"/>
    <col collapsed="false" customWidth="false" hidden="false" outlineLevel="0" max="11007" min="10767" style="2" width="10.4"/>
    <col collapsed="false" customWidth="true" hidden="false" outlineLevel="0" max="11011" min="11008" style="2" width="11.1"/>
    <col collapsed="false" customWidth="true" hidden="false" outlineLevel="0" max="11018" min="11012" style="2" width="6.9"/>
    <col collapsed="false" customWidth="true" hidden="false" outlineLevel="0" max="11022" min="11019" style="2" width="11.1"/>
    <col collapsed="false" customWidth="false" hidden="false" outlineLevel="0" max="11263" min="11023" style="2" width="10.4"/>
    <col collapsed="false" customWidth="true" hidden="false" outlineLevel="0" max="11267" min="11264" style="2" width="11.1"/>
    <col collapsed="false" customWidth="true" hidden="false" outlineLevel="0" max="11274" min="11268" style="2" width="6.9"/>
    <col collapsed="false" customWidth="true" hidden="false" outlineLevel="0" max="11278" min="11275" style="2" width="11.1"/>
    <col collapsed="false" customWidth="false" hidden="false" outlineLevel="0" max="11519" min="11279" style="2" width="10.4"/>
    <col collapsed="false" customWidth="true" hidden="false" outlineLevel="0" max="11523" min="11520" style="2" width="11.1"/>
    <col collapsed="false" customWidth="true" hidden="false" outlineLevel="0" max="11530" min="11524" style="2" width="6.9"/>
    <col collapsed="false" customWidth="true" hidden="false" outlineLevel="0" max="11534" min="11531" style="2" width="11.1"/>
    <col collapsed="false" customWidth="false" hidden="false" outlineLevel="0" max="11775" min="11535" style="2" width="10.4"/>
    <col collapsed="false" customWidth="true" hidden="false" outlineLevel="0" max="11779" min="11776" style="2" width="11.1"/>
    <col collapsed="false" customWidth="true" hidden="false" outlineLevel="0" max="11786" min="11780" style="2" width="6.9"/>
    <col collapsed="false" customWidth="true" hidden="false" outlineLevel="0" max="11790" min="11787" style="2" width="11.1"/>
    <col collapsed="false" customWidth="false" hidden="false" outlineLevel="0" max="12031" min="11791" style="2" width="10.4"/>
    <col collapsed="false" customWidth="true" hidden="false" outlineLevel="0" max="12035" min="12032" style="2" width="11.1"/>
    <col collapsed="false" customWidth="true" hidden="false" outlineLevel="0" max="12042" min="12036" style="2" width="6.9"/>
    <col collapsed="false" customWidth="true" hidden="false" outlineLevel="0" max="12046" min="12043" style="2" width="11.1"/>
    <col collapsed="false" customWidth="false" hidden="false" outlineLevel="0" max="12287" min="12047" style="2" width="10.4"/>
    <col collapsed="false" customWidth="true" hidden="false" outlineLevel="0" max="12291" min="12288" style="2" width="11.1"/>
    <col collapsed="false" customWidth="true" hidden="false" outlineLevel="0" max="12298" min="12292" style="2" width="6.9"/>
    <col collapsed="false" customWidth="true" hidden="false" outlineLevel="0" max="12302" min="12299" style="2" width="11.1"/>
    <col collapsed="false" customWidth="false" hidden="false" outlineLevel="0" max="12543" min="12303" style="2" width="10.4"/>
    <col collapsed="false" customWidth="true" hidden="false" outlineLevel="0" max="12547" min="12544" style="2" width="11.1"/>
    <col collapsed="false" customWidth="true" hidden="false" outlineLevel="0" max="12554" min="12548" style="2" width="6.9"/>
    <col collapsed="false" customWidth="true" hidden="false" outlineLevel="0" max="12558" min="12555" style="2" width="11.1"/>
    <col collapsed="false" customWidth="false" hidden="false" outlineLevel="0" max="12799" min="12559" style="2" width="10.4"/>
    <col collapsed="false" customWidth="true" hidden="false" outlineLevel="0" max="12803" min="12800" style="2" width="11.1"/>
    <col collapsed="false" customWidth="true" hidden="false" outlineLevel="0" max="12810" min="12804" style="2" width="6.9"/>
    <col collapsed="false" customWidth="true" hidden="false" outlineLevel="0" max="12814" min="12811" style="2" width="11.1"/>
    <col collapsed="false" customWidth="false" hidden="false" outlineLevel="0" max="13055" min="12815" style="2" width="10.4"/>
    <col collapsed="false" customWidth="true" hidden="false" outlineLevel="0" max="13059" min="13056" style="2" width="11.1"/>
    <col collapsed="false" customWidth="true" hidden="false" outlineLevel="0" max="13066" min="13060" style="2" width="6.9"/>
    <col collapsed="false" customWidth="true" hidden="false" outlineLevel="0" max="13070" min="13067" style="2" width="11.1"/>
    <col collapsed="false" customWidth="false" hidden="false" outlineLevel="0" max="13311" min="13071" style="2" width="10.4"/>
    <col collapsed="false" customWidth="true" hidden="false" outlineLevel="0" max="13315" min="13312" style="2" width="11.1"/>
    <col collapsed="false" customWidth="true" hidden="false" outlineLevel="0" max="13322" min="13316" style="2" width="6.9"/>
    <col collapsed="false" customWidth="true" hidden="false" outlineLevel="0" max="13326" min="13323" style="2" width="11.1"/>
    <col collapsed="false" customWidth="false" hidden="false" outlineLevel="0" max="13567" min="13327" style="2" width="10.4"/>
    <col collapsed="false" customWidth="true" hidden="false" outlineLevel="0" max="13571" min="13568" style="2" width="11.1"/>
    <col collapsed="false" customWidth="true" hidden="false" outlineLevel="0" max="13578" min="13572" style="2" width="6.9"/>
    <col collapsed="false" customWidth="true" hidden="false" outlineLevel="0" max="13582" min="13579" style="2" width="11.1"/>
    <col collapsed="false" customWidth="false" hidden="false" outlineLevel="0" max="13823" min="13583" style="2" width="10.4"/>
    <col collapsed="false" customWidth="true" hidden="false" outlineLevel="0" max="13827" min="13824" style="2" width="11.1"/>
    <col collapsed="false" customWidth="true" hidden="false" outlineLevel="0" max="13834" min="13828" style="2" width="6.9"/>
    <col collapsed="false" customWidth="true" hidden="false" outlineLevel="0" max="13838" min="13835" style="2" width="11.1"/>
    <col collapsed="false" customWidth="false" hidden="false" outlineLevel="0" max="14079" min="13839" style="2" width="10.4"/>
    <col collapsed="false" customWidth="true" hidden="false" outlineLevel="0" max="14083" min="14080" style="2" width="11.1"/>
    <col collapsed="false" customWidth="true" hidden="false" outlineLevel="0" max="14090" min="14084" style="2" width="6.9"/>
    <col collapsed="false" customWidth="true" hidden="false" outlineLevel="0" max="14094" min="14091" style="2" width="11.1"/>
    <col collapsed="false" customWidth="false" hidden="false" outlineLevel="0" max="14335" min="14095" style="2" width="10.4"/>
    <col collapsed="false" customWidth="true" hidden="false" outlineLevel="0" max="14339" min="14336" style="2" width="11.1"/>
    <col collapsed="false" customWidth="true" hidden="false" outlineLevel="0" max="14346" min="14340" style="2" width="6.9"/>
    <col collapsed="false" customWidth="true" hidden="false" outlineLevel="0" max="14350" min="14347" style="2" width="11.1"/>
    <col collapsed="false" customWidth="false" hidden="false" outlineLevel="0" max="14591" min="14351" style="2" width="10.4"/>
    <col collapsed="false" customWidth="true" hidden="false" outlineLevel="0" max="14595" min="14592" style="2" width="11.1"/>
    <col collapsed="false" customWidth="true" hidden="false" outlineLevel="0" max="14602" min="14596" style="2" width="6.9"/>
    <col collapsed="false" customWidth="true" hidden="false" outlineLevel="0" max="14606" min="14603" style="2" width="11.1"/>
    <col collapsed="false" customWidth="false" hidden="false" outlineLevel="0" max="14847" min="14607" style="2" width="10.4"/>
    <col collapsed="false" customWidth="true" hidden="false" outlineLevel="0" max="14851" min="14848" style="2" width="11.1"/>
    <col collapsed="false" customWidth="true" hidden="false" outlineLevel="0" max="14858" min="14852" style="2" width="6.9"/>
    <col collapsed="false" customWidth="true" hidden="false" outlineLevel="0" max="14862" min="14859" style="2" width="11.1"/>
    <col collapsed="false" customWidth="false" hidden="false" outlineLevel="0" max="15103" min="14863" style="2" width="10.4"/>
    <col collapsed="false" customWidth="true" hidden="false" outlineLevel="0" max="15107" min="15104" style="2" width="11.1"/>
    <col collapsed="false" customWidth="true" hidden="false" outlineLevel="0" max="15114" min="15108" style="2" width="6.9"/>
    <col collapsed="false" customWidth="true" hidden="false" outlineLevel="0" max="15118" min="15115" style="2" width="11.1"/>
    <col collapsed="false" customWidth="false" hidden="false" outlineLevel="0" max="15359" min="15119" style="2" width="10.4"/>
    <col collapsed="false" customWidth="true" hidden="false" outlineLevel="0" max="15363" min="15360" style="2" width="11.1"/>
    <col collapsed="false" customWidth="true" hidden="false" outlineLevel="0" max="15370" min="15364" style="2" width="6.9"/>
    <col collapsed="false" customWidth="true" hidden="false" outlineLevel="0" max="15374" min="15371" style="2" width="11.1"/>
    <col collapsed="false" customWidth="false" hidden="false" outlineLevel="0" max="15615" min="15375" style="2" width="10.4"/>
    <col collapsed="false" customWidth="true" hidden="false" outlineLevel="0" max="15619" min="15616" style="2" width="11.1"/>
    <col collapsed="false" customWidth="true" hidden="false" outlineLevel="0" max="15626" min="15620" style="2" width="6.9"/>
    <col collapsed="false" customWidth="true" hidden="false" outlineLevel="0" max="15630" min="15627" style="2" width="11.1"/>
    <col collapsed="false" customWidth="false" hidden="false" outlineLevel="0" max="15871" min="15631" style="2" width="10.4"/>
    <col collapsed="false" customWidth="true" hidden="false" outlineLevel="0" max="15875" min="15872" style="2" width="11.1"/>
    <col collapsed="false" customWidth="true" hidden="false" outlineLevel="0" max="15882" min="15876" style="2" width="6.9"/>
    <col collapsed="false" customWidth="true" hidden="false" outlineLevel="0" max="15886" min="15883" style="2" width="11.1"/>
    <col collapsed="false" customWidth="false" hidden="false" outlineLevel="0" max="16127" min="15887" style="2" width="10.4"/>
    <col collapsed="false" customWidth="true" hidden="false" outlineLevel="0" max="16131" min="16128" style="2" width="11.1"/>
    <col collapsed="false" customWidth="true" hidden="false" outlineLevel="0" max="16138" min="16132" style="2" width="6.9"/>
    <col collapsed="false" customWidth="true" hidden="false" outlineLevel="0" max="16142" min="16139" style="2" width="11.1"/>
    <col collapsed="false" customWidth="false" hidden="false" outlineLevel="0" max="16384" min="16143" style="2" width="10.4"/>
  </cols>
  <sheetData>
    <row r="1" customFormat="false" ht="18.75" hidden="false" customHeight="true" outlineLevel="0" collapsed="false">
      <c r="Q1" s="3" t="s">
        <v>0</v>
      </c>
      <c r="R1" s="2"/>
    </row>
    <row r="2" customFormat="false" ht="16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Q2" s="5" t="n">
        <v>28</v>
      </c>
      <c r="S2" s="6" t="s">
        <v>2</v>
      </c>
    </row>
    <row r="3" customFormat="false" ht="16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Q3" s="5"/>
      <c r="R3" s="7"/>
    </row>
    <row r="4" customFormat="false" ht="16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Q4" s="5"/>
      <c r="R4" s="7"/>
      <c r="S4" s="2"/>
      <c r="T4" s="2"/>
      <c r="U4" s="2"/>
    </row>
    <row r="5" customFormat="false" ht="24.75" hidden="false" customHeight="true" outlineLevel="0" collapsed="false">
      <c r="Q5" s="3"/>
      <c r="R5" s="7"/>
      <c r="S5" s="2"/>
      <c r="T5" s="2"/>
      <c r="U5" s="2"/>
    </row>
    <row r="6" customFormat="false" ht="25.5" hidden="false" customHeight="true" outlineLevel="0" collapsed="false">
      <c r="A6" s="8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Q6" s="9" t="n">
        <v>18</v>
      </c>
      <c r="R6" s="7"/>
      <c r="S6" s="2"/>
    </row>
    <row r="7" customFormat="false" ht="24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Q7" s="11"/>
      <c r="R7" s="7"/>
      <c r="S7" s="2"/>
      <c r="T7" s="2"/>
      <c r="U7" s="2"/>
      <c r="V7" s="2"/>
      <c r="W7" s="2"/>
    </row>
    <row r="8" customFormat="false" ht="16.5" hidden="false" customHeight="true" outlineLevel="0" collapsed="false">
      <c r="E8" s="12"/>
      <c r="F8" s="13"/>
      <c r="G8" s="13"/>
      <c r="H8" s="13"/>
      <c r="I8" s="13"/>
      <c r="J8" s="13"/>
      <c r="K8" s="14"/>
      <c r="Q8" s="15"/>
      <c r="R8" s="2"/>
    </row>
    <row r="9" customFormat="false" ht="19.5" hidden="false" customHeight="true" outlineLevel="0" collapsed="false">
      <c r="A9" s="16"/>
      <c r="B9" s="16"/>
      <c r="C9" s="16"/>
      <c r="D9" s="16"/>
      <c r="E9" s="17"/>
      <c r="F9" s="18" t="s">
        <v>4</v>
      </c>
      <c r="G9" s="19" t="s">
        <v>5</v>
      </c>
      <c r="H9" s="19"/>
      <c r="I9" s="19"/>
      <c r="J9" s="19"/>
      <c r="K9" s="20"/>
      <c r="L9" s="16"/>
      <c r="M9" s="16"/>
      <c r="N9" s="16"/>
      <c r="O9" s="16"/>
      <c r="P9" s="16"/>
      <c r="Q9" s="21" t="n">
        <v>14</v>
      </c>
      <c r="R9" s="7"/>
      <c r="S9" s="22" t="s">
        <v>6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</row>
    <row r="10" customFormat="false" ht="16.5" hidden="false" customHeight="true" outlineLevel="0" collapsed="false">
      <c r="A10" s="16"/>
      <c r="B10" s="16"/>
      <c r="C10" s="16"/>
      <c r="D10" s="16"/>
      <c r="E10" s="17"/>
      <c r="F10" s="18"/>
      <c r="G10" s="23"/>
      <c r="H10" s="23"/>
      <c r="I10" s="23"/>
      <c r="J10" s="23"/>
      <c r="K10" s="20"/>
      <c r="L10" s="16"/>
      <c r="M10" s="16"/>
      <c r="N10" s="16"/>
      <c r="O10" s="16"/>
      <c r="P10" s="16"/>
      <c r="Q10" s="3"/>
      <c r="R10" s="7"/>
      <c r="S10" s="16" t="s">
        <v>7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</row>
    <row r="11" customFormat="false" ht="19.5" hidden="false" customHeight="true" outlineLevel="0" collapsed="false">
      <c r="A11" s="16"/>
      <c r="B11" s="16"/>
      <c r="C11" s="16"/>
      <c r="D11" s="16"/>
      <c r="E11" s="17"/>
      <c r="F11" s="18" t="s">
        <v>8</v>
      </c>
      <c r="G11" s="19" t="s">
        <v>9</v>
      </c>
      <c r="H11" s="19"/>
      <c r="I11" s="19"/>
      <c r="J11" s="19"/>
      <c r="K11" s="20"/>
      <c r="L11" s="16"/>
      <c r="M11" s="16"/>
      <c r="N11" s="16"/>
      <c r="O11" s="16"/>
      <c r="P11" s="16"/>
      <c r="Q11" s="3"/>
      <c r="R11" s="7"/>
      <c r="S11" s="16" t="s">
        <v>10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</row>
    <row r="12" customFormat="false" ht="16.5" hidden="false" customHeight="true" outlineLevel="0" collapsed="false">
      <c r="A12" s="16"/>
      <c r="B12" s="16"/>
      <c r="C12" s="16"/>
      <c r="D12" s="16"/>
      <c r="E12" s="17"/>
      <c r="F12" s="18"/>
      <c r="G12" s="24"/>
      <c r="H12" s="24"/>
      <c r="I12" s="24"/>
      <c r="J12" s="25"/>
      <c r="K12" s="20"/>
      <c r="L12" s="16"/>
      <c r="M12" s="16"/>
      <c r="N12" s="16"/>
      <c r="O12" s="16"/>
      <c r="P12" s="16"/>
      <c r="Q12" s="3"/>
      <c r="R12" s="7"/>
      <c r="S12" s="16" t="s">
        <v>11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</row>
    <row r="13" customFormat="false" ht="19.5" hidden="false" customHeight="true" outlineLevel="0" collapsed="false">
      <c r="A13" s="16"/>
      <c r="B13" s="16"/>
      <c r="C13" s="16"/>
      <c r="D13" s="16"/>
      <c r="E13" s="17"/>
      <c r="F13" s="18" t="s">
        <v>12</v>
      </c>
      <c r="G13" s="19" t="s">
        <v>13</v>
      </c>
      <c r="H13" s="19"/>
      <c r="I13" s="19"/>
      <c r="J13" s="19"/>
      <c r="K13" s="20"/>
      <c r="L13" s="16"/>
      <c r="M13" s="16"/>
      <c r="N13" s="16"/>
      <c r="O13" s="16"/>
      <c r="P13" s="16"/>
      <c r="Q13" s="3"/>
      <c r="R13" s="7"/>
      <c r="S13" s="16" t="s">
        <v>14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</row>
    <row r="14" customFormat="false" ht="16.5" hidden="false" customHeight="true" outlineLevel="0" collapsed="false">
      <c r="A14" s="16"/>
      <c r="B14" s="16"/>
      <c r="C14" s="16"/>
      <c r="D14" s="16"/>
      <c r="E14" s="17"/>
      <c r="F14" s="18"/>
      <c r="G14" s="24"/>
      <c r="H14" s="24"/>
      <c r="I14" s="24"/>
      <c r="J14" s="25"/>
      <c r="K14" s="20"/>
      <c r="L14" s="16"/>
      <c r="M14" s="16"/>
      <c r="N14" s="16"/>
      <c r="O14" s="16"/>
      <c r="P14" s="16"/>
      <c r="Q14" s="3"/>
      <c r="R14" s="7"/>
      <c r="S14" s="16" t="s">
        <v>15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</row>
    <row r="15" customFormat="false" ht="19.5" hidden="false" customHeight="true" outlineLevel="0" collapsed="false">
      <c r="A15" s="16"/>
      <c r="B15" s="16"/>
      <c r="C15" s="16"/>
      <c r="D15" s="16"/>
      <c r="E15" s="17"/>
      <c r="F15" s="18" t="s">
        <v>16</v>
      </c>
      <c r="G15" s="19" t="s">
        <v>17</v>
      </c>
      <c r="H15" s="19"/>
      <c r="I15" s="19"/>
      <c r="J15" s="19"/>
      <c r="K15" s="20"/>
      <c r="L15" s="16"/>
      <c r="M15" s="16"/>
      <c r="N15" s="16"/>
      <c r="O15" s="16"/>
      <c r="P15" s="16"/>
      <c r="Q15" s="3"/>
      <c r="R15" s="7"/>
      <c r="S15" s="16" t="s">
        <v>18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="2" customFormat="true" ht="16.5" hidden="false" customHeight="true" outlineLevel="0" collapsed="false">
      <c r="A16" s="16"/>
      <c r="B16" s="16"/>
      <c r="C16" s="16"/>
      <c r="D16" s="16"/>
      <c r="E16" s="17"/>
      <c r="F16" s="18"/>
      <c r="G16" s="24"/>
      <c r="H16" s="24"/>
      <c r="I16" s="24"/>
      <c r="J16" s="25"/>
      <c r="K16" s="20"/>
      <c r="L16" s="16"/>
      <c r="M16" s="16"/>
      <c r="N16" s="16"/>
      <c r="O16" s="16"/>
      <c r="P16" s="16"/>
      <c r="Q16" s="3"/>
      <c r="R16" s="7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customFormat="false" ht="19.5" hidden="false" customHeight="true" outlineLevel="0" collapsed="false">
      <c r="A17" s="16"/>
      <c r="B17" s="16"/>
      <c r="C17" s="16"/>
      <c r="D17" s="16"/>
      <c r="E17" s="17"/>
      <c r="F17" s="18" t="s">
        <v>19</v>
      </c>
      <c r="G17" s="19" t="s">
        <v>20</v>
      </c>
      <c r="H17" s="19"/>
      <c r="I17" s="19"/>
      <c r="J17" s="19"/>
      <c r="K17" s="20"/>
      <c r="L17" s="16"/>
      <c r="M17" s="16"/>
      <c r="N17" s="16"/>
      <c r="O17" s="16"/>
      <c r="P17" s="16"/>
      <c r="Q17" s="3"/>
      <c r="R17" s="7"/>
      <c r="S17" s="22" t="s">
        <v>21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="2" customFormat="true" ht="16.5" hidden="false" customHeight="true" outlineLevel="0" collapsed="false">
      <c r="A18" s="16"/>
      <c r="B18" s="16"/>
      <c r="C18" s="16"/>
      <c r="D18" s="16"/>
      <c r="E18" s="17"/>
      <c r="F18" s="18"/>
      <c r="G18" s="23"/>
      <c r="H18" s="23"/>
      <c r="I18" s="23"/>
      <c r="J18" s="23"/>
      <c r="K18" s="20"/>
      <c r="L18" s="16"/>
      <c r="M18" s="16"/>
      <c r="N18" s="16"/>
      <c r="O18" s="16"/>
      <c r="P18" s="16"/>
      <c r="Q18" s="3"/>
      <c r="R18" s="7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="2" customFormat="true" ht="19.5" hidden="false" customHeight="true" outlineLevel="0" collapsed="false">
      <c r="A19" s="16"/>
      <c r="B19" s="16"/>
      <c r="C19" s="16"/>
      <c r="D19" s="16"/>
      <c r="E19" s="17"/>
      <c r="F19" s="18" t="s">
        <v>22</v>
      </c>
      <c r="G19" s="19" t="s">
        <v>23</v>
      </c>
      <c r="H19" s="19"/>
      <c r="I19" s="19"/>
      <c r="J19" s="19"/>
      <c r="K19" s="20"/>
      <c r="L19" s="16"/>
      <c r="M19" s="16"/>
      <c r="N19" s="16"/>
      <c r="O19" s="16"/>
      <c r="P19" s="16"/>
      <c r="Q19" s="3"/>
      <c r="R19" s="7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customFormat="false" ht="16.5" hidden="false" customHeight="true" outlineLevel="0" collapsed="false">
      <c r="E20" s="26"/>
      <c r="F20" s="27"/>
      <c r="G20" s="27"/>
      <c r="H20" s="27"/>
      <c r="I20" s="27"/>
      <c r="J20" s="27"/>
      <c r="K20" s="28"/>
      <c r="Q20" s="3"/>
      <c r="R20" s="7"/>
    </row>
    <row r="21" customFormat="false" ht="9.75" hidden="false" customHeight="true" outlineLevel="0" collapsed="false">
      <c r="Q21" s="3"/>
      <c r="R21" s="7"/>
    </row>
    <row r="22" customFormat="false" ht="24.75" hidden="false" customHeight="true" outlineLevel="0" collapsed="false">
      <c r="Q22" s="3"/>
      <c r="R22" s="7"/>
    </row>
    <row r="23" customFormat="false" ht="16.5" hidden="false" customHeight="true" outlineLevel="0" collapsed="false">
      <c r="A23" s="29" t="n">
        <v>46248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Q23" s="30" t="n">
        <v>14</v>
      </c>
      <c r="R23" s="7"/>
      <c r="S23" s="31" t="s">
        <v>24</v>
      </c>
    </row>
    <row r="24" customFormat="false" ht="24.75" hidden="false" customHeight="true" outlineLevel="0" collapsed="false">
      <c r="A24" s="16"/>
      <c r="B24" s="16"/>
      <c r="C24" s="16"/>
      <c r="D24" s="32" t="e">
        <f aca="false">#VALUE!</f>
        <v>#VALUE!</v>
      </c>
      <c r="E24" s="16"/>
      <c r="F24" s="16"/>
      <c r="G24" s="16"/>
      <c r="H24" s="16"/>
      <c r="I24" s="16"/>
      <c r="J24" s="16"/>
      <c r="K24" s="16"/>
      <c r="L24" s="16"/>
      <c r="Q24" s="3"/>
      <c r="R24" s="7"/>
    </row>
    <row r="25" customFormat="false" ht="16.5" hidden="false" customHeight="true" outlineLevel="0" collapsed="false">
      <c r="A25" s="33" t="s">
        <v>25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Q25" s="34" t="n">
        <v>20</v>
      </c>
      <c r="R25" s="7"/>
      <c r="S25" s="35" t="s">
        <v>26</v>
      </c>
    </row>
    <row r="26" customFormat="false" ht="16.5" hidden="false" customHeight="tru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Q26" s="34"/>
      <c r="R26" s="7"/>
    </row>
    <row r="27" customFormat="false" ht="16.5" hidden="false" customHeight="true" outlineLevel="0" collapsed="false">
      <c r="Q27" s="1" t="s">
        <v>27</v>
      </c>
    </row>
    <row r="28" customFormat="false" ht="18.75" hidden="false" customHeight="true" outlineLevel="0" collapsed="false">
      <c r="B28" s="36"/>
      <c r="Q28" s="2"/>
      <c r="R28" s="2"/>
    </row>
    <row r="29" customFormat="false" ht="18.75" hidden="false" customHeight="true" outlineLevel="0" collapsed="false">
      <c r="S29" s="6" t="s">
        <v>28</v>
      </c>
      <c r="T29" s="6"/>
      <c r="U29" s="31" t="s">
        <v>29</v>
      </c>
    </row>
    <row r="30" customFormat="false" ht="18.75" hidden="false" customHeight="true" outlineLevel="0" collapsed="false">
      <c r="S30" s="6" t="s">
        <v>30</v>
      </c>
      <c r="T30" s="31" t="s">
        <v>31</v>
      </c>
      <c r="U30" s="6"/>
    </row>
    <row r="31" customFormat="false" ht="18.75" hidden="false" customHeight="true" outlineLevel="0" collapsed="false">
      <c r="S31" s="2" t="s">
        <v>32</v>
      </c>
    </row>
    <row r="45" customFormat="false" ht="18.75" hidden="false" customHeight="true" outlineLevel="0" collapsed="false">
      <c r="AE45" s="37" t="s">
        <v>33</v>
      </c>
      <c r="AF45" s="37" t="s">
        <v>34</v>
      </c>
      <c r="AG45" s="37" t="s">
        <v>35</v>
      </c>
    </row>
    <row r="46" customFormat="false" ht="61.5" hidden="false" customHeight="true" outlineLevel="0" collapsed="false">
      <c r="AE46" s="38"/>
      <c r="AF46" s="38"/>
      <c r="AG46" s="38"/>
    </row>
  </sheetData>
  <mergeCells count="12">
    <mergeCell ref="A2:N4"/>
    <mergeCell ref="Q2:Q4"/>
    <mergeCell ref="A6:N6"/>
    <mergeCell ref="G9:J9"/>
    <mergeCell ref="G11:J11"/>
    <mergeCell ref="G13:J13"/>
    <mergeCell ref="G15:J15"/>
    <mergeCell ref="G17:J17"/>
    <mergeCell ref="G19:J19"/>
    <mergeCell ref="A23:N23"/>
    <mergeCell ref="A25:N26"/>
    <mergeCell ref="Q25:Q26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S9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B51" activePane="bottomRight" state="frozen"/>
      <selection pane="topLeft" activeCell="A1" activeCellId="0" sqref="A1"/>
      <selection pane="topRight" activeCell="B1" activeCellId="0" sqref="B1"/>
      <selection pane="bottomLeft" activeCell="A51" activeCellId="0" sqref="A51"/>
      <selection pane="bottomRight" activeCell="I78" activeCellId="0" sqref="I78"/>
    </sheetView>
  </sheetViews>
  <sheetFormatPr defaultColWidth="12.5" defaultRowHeight="10.5" zeroHeight="false" outlineLevelRow="0" outlineLevelCol="0"/>
  <cols>
    <col collapsed="false" customWidth="true" hidden="false" outlineLevel="0" max="1" min="1" style="39" width="23.9"/>
    <col collapsed="false" customWidth="true" hidden="false" outlineLevel="0" max="2" min="2" style="39" width="13.1"/>
    <col collapsed="false" customWidth="true" hidden="false" outlineLevel="0" max="3" min="3" style="39" width="11.5"/>
    <col collapsed="false" customWidth="true" hidden="false" outlineLevel="0" max="4" min="4" style="39" width="13"/>
    <col collapsed="false" customWidth="true" hidden="false" outlineLevel="0" max="5" min="5" style="39" width="12.4"/>
    <col collapsed="false" customWidth="true" hidden="false" outlineLevel="0" max="6" min="6" style="39" width="13"/>
    <col collapsed="false" customWidth="true" hidden="false" outlineLevel="0" max="7" min="7" style="39" width="11.5"/>
    <col collapsed="false" customWidth="true" hidden="false" outlineLevel="0" max="8" min="8" style="39" width="12.7"/>
    <col collapsed="false" customWidth="true" hidden="false" outlineLevel="0" max="9" min="9" style="39" width="12.4"/>
    <col collapsed="false" customWidth="true" hidden="false" outlineLevel="0" max="10" min="10" style="39" width="11.5"/>
    <col collapsed="false" customWidth="true" hidden="true" outlineLevel="0" max="11" min="11" style="39" width="11.5"/>
    <col collapsed="false" customWidth="true" hidden="true" outlineLevel="0" max="13" min="12" style="39" width="13.7"/>
    <col collapsed="false" customWidth="true" hidden="true" outlineLevel="0" max="14" min="14" style="39" width="14.2"/>
    <col collapsed="false" customWidth="true" hidden="false" outlineLevel="0" max="15" min="15" style="39" width="5.1"/>
    <col collapsed="false" customWidth="true" hidden="false" outlineLevel="0" max="16" min="16" style="39" width="13.7"/>
    <col collapsed="false" customWidth="true" hidden="false" outlineLevel="0" max="17" min="17" style="39" width="16.2"/>
    <col collapsed="false" customWidth="false" hidden="false" outlineLevel="0" max="18" min="18" style="39" width="12.5"/>
    <col collapsed="false" customWidth="true" hidden="false" outlineLevel="0" max="19" min="19" style="39" width="19.6"/>
    <col collapsed="false" customWidth="false" hidden="false" outlineLevel="0" max="16384" min="20" style="39" width="12.5"/>
  </cols>
  <sheetData>
    <row r="1" customFormat="false" ht="17.25" hidden="false" customHeight="true" outlineLevel="0" collapsed="false">
      <c r="A1" s="40" t="s">
        <v>36</v>
      </c>
      <c r="B1" s="41" t="s">
        <v>37</v>
      </c>
      <c r="C1" s="42" t="s">
        <v>38</v>
      </c>
      <c r="D1" s="42" t="s">
        <v>39</v>
      </c>
      <c r="E1" s="42" t="s">
        <v>40</v>
      </c>
      <c r="F1" s="42" t="s">
        <v>41</v>
      </c>
      <c r="G1" s="42" t="s">
        <v>42</v>
      </c>
      <c r="H1" s="42" t="s">
        <v>43</v>
      </c>
      <c r="I1" s="42" t="s">
        <v>44</v>
      </c>
      <c r="J1" s="42" t="s">
        <v>45</v>
      </c>
      <c r="K1" s="42" t="s">
        <v>46</v>
      </c>
      <c r="L1" s="42" t="s">
        <v>47</v>
      </c>
      <c r="M1" s="42" t="s">
        <v>48</v>
      </c>
      <c r="N1" s="42" t="s">
        <v>49</v>
      </c>
      <c r="P1" s="43" t="s">
        <v>50</v>
      </c>
      <c r="Q1" s="43" t="s">
        <v>51</v>
      </c>
    </row>
    <row r="2" s="46" customFormat="true" ht="13.5" hidden="false" customHeight="true" outlineLevel="0" collapsed="false">
      <c r="A2" s="44" t="s">
        <v>52</v>
      </c>
      <c r="B2" s="45" t="n">
        <f aca="false">B3+B4-B5</f>
        <v>0</v>
      </c>
      <c r="C2" s="45" t="n">
        <f aca="false">C3+C4-C5</f>
        <v>0</v>
      </c>
      <c r="D2" s="45" t="n">
        <f aca="false">D3+D4-D5</f>
        <v>0</v>
      </c>
      <c r="E2" s="45" t="n">
        <f aca="false">E3+E4-E5</f>
        <v>0</v>
      </c>
      <c r="F2" s="45" t="n">
        <f aca="false">F3+F4-F5</f>
        <v>0</v>
      </c>
      <c r="G2" s="45" t="n">
        <f aca="false">G3+G4-G5</f>
        <v>0</v>
      </c>
      <c r="H2" s="45" t="n">
        <f aca="false">H3+H4-H5</f>
        <v>0</v>
      </c>
      <c r="I2" s="45" t="n">
        <f aca="false">I3+I4-I5</f>
        <v>0</v>
      </c>
      <c r="J2" s="45" t="n">
        <f aca="false">J3+J4-J5</f>
        <v>0</v>
      </c>
      <c r="K2" s="45" t="n">
        <f aca="false">K3+K4-K5</f>
        <v>0</v>
      </c>
      <c r="L2" s="45" t="n">
        <f aca="false">L3+L4-L5</f>
        <v>0</v>
      </c>
      <c r="M2" s="45" t="n">
        <f aca="false">M3+M4-M5</f>
        <v>0</v>
      </c>
      <c r="N2" s="45" t="n">
        <f aca="false">N3+N4-N5</f>
        <v>0</v>
      </c>
      <c r="P2" s="47" t="n">
        <f aca="false">N2</f>
        <v>0</v>
      </c>
      <c r="Q2" s="48" t="n">
        <f aca="false">SUM(C2:N2)</f>
        <v>0</v>
      </c>
      <c r="R2" s="46" t="n">
        <f aca="false">Q2=B2</f>
        <v>1</v>
      </c>
      <c r="S2" s="49" t="n">
        <f aca="false">Q3+Q4-Q5</f>
        <v>0</v>
      </c>
    </row>
    <row r="3" customFormat="false" ht="11.25" hidden="false" customHeight="true" outlineLevel="0" collapsed="false">
      <c r="A3" s="50" t="s">
        <v>53</v>
      </c>
      <c r="B3" s="45" t="n">
        <f aca="false">SUM(C3)</f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P3" s="51" t="n">
        <f aca="false">C3</f>
        <v>0</v>
      </c>
      <c r="Q3" s="48" t="n">
        <f aca="false">C3</f>
        <v>0</v>
      </c>
      <c r="R3" s="39" t="n">
        <f aca="false">Q3=B3</f>
        <v>1</v>
      </c>
    </row>
    <row r="4" customFormat="false" ht="11.25" hidden="false" customHeight="true" outlineLevel="0" collapsed="false">
      <c r="A4" s="50" t="s">
        <v>54</v>
      </c>
      <c r="B4" s="45" t="n">
        <f aca="false">SUM(C4:N4)</f>
        <v>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P4" s="51" t="n">
        <f aca="false">N4</f>
        <v>0</v>
      </c>
      <c r="Q4" s="48" t="n">
        <f aca="false">SUM(C4:N4)</f>
        <v>0</v>
      </c>
      <c r="R4" s="39" t="n">
        <f aca="false">Q4=B4</f>
        <v>1</v>
      </c>
    </row>
    <row r="5" customFormat="false" ht="11.25" hidden="false" customHeight="true" outlineLevel="0" collapsed="false">
      <c r="A5" s="50" t="s">
        <v>55</v>
      </c>
      <c r="B5" s="45" t="n">
        <f aca="false">C5</f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P5" s="51" t="n">
        <f aca="false">N5</f>
        <v>0</v>
      </c>
      <c r="Q5" s="48" t="n">
        <f aca="false">C5</f>
        <v>0</v>
      </c>
      <c r="R5" s="39" t="n">
        <f aca="false">Q5=B5</f>
        <v>1</v>
      </c>
    </row>
    <row r="6" s="46" customFormat="true" ht="13.5" hidden="false" customHeight="true" outlineLevel="0" collapsed="false">
      <c r="A6" s="44" t="s">
        <v>56</v>
      </c>
      <c r="B6" s="45" t="n">
        <f aca="false">B7+B8-B9</f>
        <v>0</v>
      </c>
      <c r="C6" s="45" t="n">
        <f aca="false">C7+C8-C9</f>
        <v>0</v>
      </c>
      <c r="D6" s="45" t="n">
        <f aca="false">D7+D8-D9</f>
        <v>0</v>
      </c>
      <c r="E6" s="45" t="n">
        <f aca="false">E7+E8-E9</f>
        <v>0</v>
      </c>
      <c r="F6" s="45" t="n">
        <f aca="false">F7+F8-F9</f>
        <v>0</v>
      </c>
      <c r="G6" s="45" t="n">
        <f aca="false">G7+G8-G9</f>
        <v>0</v>
      </c>
      <c r="H6" s="45" t="n">
        <f aca="false">H7+H8-H9</f>
        <v>0</v>
      </c>
      <c r="I6" s="45" t="n">
        <f aca="false">I7+I8-I9</f>
        <v>0</v>
      </c>
      <c r="J6" s="45" t="n">
        <f aca="false">J7+J8-J9</f>
        <v>0</v>
      </c>
      <c r="K6" s="45" t="n">
        <f aca="false">K7+K8-K9</f>
        <v>0</v>
      </c>
      <c r="L6" s="45" t="n">
        <f aca="false">L7+L8-L9</f>
        <v>0</v>
      </c>
      <c r="M6" s="45" t="n">
        <f aca="false">M7+M8-M9</f>
        <v>0</v>
      </c>
      <c r="N6" s="45" t="n">
        <f aca="false">N7+N8-N9</f>
        <v>0</v>
      </c>
      <c r="P6" s="47" t="n">
        <f aca="false">N6</f>
        <v>0</v>
      </c>
      <c r="Q6" s="48" t="n">
        <f aca="false">SUM(C6:N6)</f>
        <v>0</v>
      </c>
      <c r="R6" s="46" t="n">
        <f aca="false">Q6=B6</f>
        <v>1</v>
      </c>
    </row>
    <row r="7" customFormat="false" ht="11.25" hidden="false" customHeight="true" outlineLevel="0" collapsed="false">
      <c r="A7" s="50" t="s">
        <v>57</v>
      </c>
      <c r="B7" s="45" t="n">
        <f aca="false">C7:C7</f>
        <v>0</v>
      </c>
      <c r="C7" s="45" t="n">
        <v>0</v>
      </c>
      <c r="D7" s="45" t="n">
        <f aca="false">C9</f>
        <v>0</v>
      </c>
      <c r="E7" s="45" t="n">
        <f aca="false">D9</f>
        <v>0</v>
      </c>
      <c r="F7" s="45" t="n">
        <f aca="false">E9</f>
        <v>0</v>
      </c>
      <c r="G7" s="45" t="n">
        <f aca="false">F9</f>
        <v>0</v>
      </c>
      <c r="H7" s="45" t="n">
        <f aca="false">G9</f>
        <v>0</v>
      </c>
      <c r="I7" s="45" t="n">
        <f aca="false">H9</f>
        <v>0</v>
      </c>
      <c r="J7" s="45" t="n">
        <f aca="false">I9</f>
        <v>0</v>
      </c>
      <c r="K7" s="45" t="n">
        <f aca="false">J9</f>
        <v>0</v>
      </c>
      <c r="L7" s="45" t="n">
        <f aca="false">K9</f>
        <v>0</v>
      </c>
      <c r="M7" s="45" t="n">
        <f aca="false">L9</f>
        <v>0</v>
      </c>
      <c r="N7" s="45" t="n">
        <f aca="false">M9</f>
        <v>0</v>
      </c>
      <c r="P7" s="51" t="n">
        <f aca="false">N7</f>
        <v>0</v>
      </c>
      <c r="Q7" s="48" t="n">
        <f aca="false">SUM(C7)</f>
        <v>0</v>
      </c>
      <c r="R7" s="39" t="n">
        <f aca="false">Q7=B7</f>
        <v>1</v>
      </c>
    </row>
    <row r="8" customFormat="false" ht="11.25" hidden="false" customHeight="true" outlineLevel="0" collapsed="false">
      <c r="A8" s="50" t="s">
        <v>58</v>
      </c>
      <c r="B8" s="45" t="n">
        <f aca="false">SUM(C8:N8)</f>
        <v>0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P8" s="51" t="n">
        <f aca="false">N8</f>
        <v>0</v>
      </c>
      <c r="Q8" s="48" t="n">
        <f aca="false">SUM(C8:N8)</f>
        <v>0</v>
      </c>
      <c r="R8" s="39" t="n">
        <f aca="false">Q8=B8</f>
        <v>1</v>
      </c>
    </row>
    <row r="9" customFormat="false" ht="11.25" hidden="false" customHeight="true" outlineLevel="0" collapsed="false">
      <c r="A9" s="50" t="s">
        <v>59</v>
      </c>
      <c r="B9" s="45" t="n">
        <f aca="false">N9</f>
        <v>0</v>
      </c>
      <c r="C9" s="45"/>
      <c r="D9" s="45"/>
      <c r="E9" s="45"/>
      <c r="F9" s="45" t="n">
        <v>0</v>
      </c>
      <c r="G9" s="45"/>
      <c r="H9" s="45"/>
      <c r="I9" s="45"/>
      <c r="J9" s="45"/>
      <c r="K9" s="45"/>
      <c r="L9" s="45"/>
      <c r="M9" s="45"/>
      <c r="N9" s="45"/>
      <c r="P9" s="47" t="n">
        <f aca="false">N9</f>
        <v>0</v>
      </c>
      <c r="Q9" s="48" t="n">
        <f aca="false">SUM(C9:N9)</f>
        <v>0</v>
      </c>
      <c r="R9" s="39" t="n">
        <f aca="false">Q9=B9</f>
        <v>1</v>
      </c>
    </row>
    <row r="10" customFormat="false" ht="13.5" hidden="false" customHeight="true" outlineLevel="0" collapsed="false">
      <c r="A10" s="44" t="s">
        <v>60</v>
      </c>
      <c r="B10" s="45" t="n">
        <f aca="false">B11</f>
        <v>0</v>
      </c>
      <c r="C10" s="45" t="n">
        <f aca="false">C11</f>
        <v>0</v>
      </c>
      <c r="D10" s="45" t="n">
        <f aca="false">D11</f>
        <v>0</v>
      </c>
      <c r="E10" s="45" t="n">
        <f aca="false">E11</f>
        <v>0</v>
      </c>
      <c r="F10" s="45" t="n">
        <f aca="false">F11</f>
        <v>0</v>
      </c>
      <c r="G10" s="45" t="n">
        <f aca="false">G11</f>
        <v>0</v>
      </c>
      <c r="H10" s="45" t="n">
        <f aca="false">H11</f>
        <v>0</v>
      </c>
      <c r="I10" s="45" t="n">
        <f aca="false">I11</f>
        <v>0</v>
      </c>
      <c r="J10" s="45" t="n">
        <f aca="false">J11</f>
        <v>0</v>
      </c>
      <c r="K10" s="45" t="n">
        <f aca="false">K11</f>
        <v>0</v>
      </c>
      <c r="L10" s="45" t="n">
        <f aca="false">L11</f>
        <v>0</v>
      </c>
      <c r="M10" s="45" t="n">
        <f aca="false">M11</f>
        <v>0</v>
      </c>
      <c r="N10" s="45" t="n">
        <f aca="false">N11</f>
        <v>0</v>
      </c>
      <c r="P10" s="51" t="n">
        <f aca="false">N10</f>
        <v>0</v>
      </c>
      <c r="Q10" s="48" t="n">
        <f aca="false">SUM(C10:N10)</f>
        <v>0</v>
      </c>
      <c r="R10" s="39" t="n">
        <f aca="false">Q10=B10</f>
        <v>1</v>
      </c>
    </row>
    <row r="11" customFormat="false" ht="11.25" hidden="false" customHeight="true" outlineLevel="0" collapsed="false">
      <c r="A11" s="50" t="s">
        <v>61</v>
      </c>
      <c r="B11" s="45" t="n">
        <f aca="false">SUM(C11:N11)</f>
        <v>0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P11" s="51" t="n">
        <f aca="false">N11</f>
        <v>0</v>
      </c>
      <c r="Q11" s="48" t="n">
        <f aca="false">SUM(C11:N11)</f>
        <v>0</v>
      </c>
      <c r="R11" s="39" t="n">
        <f aca="false">Q11=B11</f>
        <v>1</v>
      </c>
    </row>
    <row r="12" customFormat="false" ht="13.5" hidden="false" customHeight="true" outlineLevel="0" collapsed="false">
      <c r="A12" s="44" t="s">
        <v>62</v>
      </c>
      <c r="B12" s="45" t="n">
        <f aca="false">SUM(B13:B19)</f>
        <v>0</v>
      </c>
      <c r="C12" s="45" t="n">
        <f aca="false">SUM(C13:C19)</f>
        <v>0</v>
      </c>
      <c r="D12" s="45" t="n">
        <f aca="false">SUM(D13:D19)</f>
        <v>0</v>
      </c>
      <c r="E12" s="45" t="n">
        <f aca="false">SUM(E13:E19)</f>
        <v>0</v>
      </c>
      <c r="F12" s="45" t="n">
        <f aca="false">SUM(F13:F19)</f>
        <v>0</v>
      </c>
      <c r="G12" s="45" t="n">
        <f aca="false">SUM(G13:G19)</f>
        <v>0</v>
      </c>
      <c r="H12" s="45" t="n">
        <f aca="false">SUM(H13:H19)</f>
        <v>0</v>
      </c>
      <c r="I12" s="45" t="n">
        <f aca="false">SUM(I13:I19)</f>
        <v>0</v>
      </c>
      <c r="J12" s="45" t="n">
        <f aca="false">SUM(J13:J19)</f>
        <v>0</v>
      </c>
      <c r="K12" s="45" t="n">
        <f aca="false">SUM(K13:K19)</f>
        <v>0</v>
      </c>
      <c r="L12" s="45" t="n">
        <f aca="false">SUM(L13:L19)</f>
        <v>0</v>
      </c>
      <c r="M12" s="45" t="n">
        <f aca="false">SUM(M13:M19)</f>
        <v>0</v>
      </c>
      <c r="N12" s="45" t="n">
        <f aca="false">SUM(N13:N19)</f>
        <v>0</v>
      </c>
      <c r="P12" s="51" t="n">
        <f aca="false">M12</f>
        <v>0</v>
      </c>
      <c r="Q12" s="48" t="n">
        <f aca="false">SUM(C12:N12)</f>
        <v>0</v>
      </c>
      <c r="R12" s="39" t="n">
        <f aca="false">Q12=B12</f>
        <v>1</v>
      </c>
    </row>
    <row r="13" customFormat="false" ht="11.25" hidden="false" customHeight="true" outlineLevel="0" collapsed="false">
      <c r="A13" s="50" t="s">
        <v>63</v>
      </c>
      <c r="B13" s="45" t="n">
        <f aca="false">SUM(C13:N13)</f>
        <v>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P13" s="51" t="n">
        <f aca="false">M13</f>
        <v>0</v>
      </c>
      <c r="Q13" s="48" t="n">
        <f aca="false">SUM(C13:N13)</f>
        <v>0</v>
      </c>
      <c r="R13" s="39" t="n">
        <f aca="false">Q13=B13</f>
        <v>1</v>
      </c>
    </row>
    <row r="14" customFormat="false" ht="11.25" hidden="false" customHeight="true" outlineLevel="0" collapsed="false">
      <c r="A14" s="50" t="s">
        <v>64</v>
      </c>
      <c r="B14" s="45" t="n">
        <f aca="false">SUM(C14:N14)</f>
        <v>0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P14" s="51" t="n">
        <f aca="false">M14</f>
        <v>0</v>
      </c>
      <c r="Q14" s="48" t="n">
        <f aca="false">SUM(C14:N14)</f>
        <v>0</v>
      </c>
      <c r="R14" s="39" t="n">
        <f aca="false">Q14=B14</f>
        <v>1</v>
      </c>
    </row>
    <row r="15" customFormat="false" ht="11.25" hidden="false" customHeight="true" outlineLevel="0" collapsed="false">
      <c r="A15" s="50" t="s">
        <v>65</v>
      </c>
      <c r="B15" s="45" t="n">
        <f aca="false">SUM(C15:N15)</f>
        <v>0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P15" s="51" t="n">
        <f aca="false">M15</f>
        <v>0</v>
      </c>
      <c r="Q15" s="48" t="n">
        <f aca="false">SUM(C15:N15)</f>
        <v>0</v>
      </c>
      <c r="R15" s="39" t="n">
        <f aca="false">Q15=B15</f>
        <v>1</v>
      </c>
    </row>
    <row r="16" customFormat="false" ht="11.25" hidden="false" customHeight="true" outlineLevel="0" collapsed="false">
      <c r="A16" s="50" t="s">
        <v>66</v>
      </c>
      <c r="B16" s="45" t="n">
        <f aca="false">SUM(C16:N16)</f>
        <v>0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P16" s="51" t="n">
        <f aca="false">M16</f>
        <v>0</v>
      </c>
      <c r="Q16" s="48" t="n">
        <f aca="false">SUM(C16:N16)</f>
        <v>0</v>
      </c>
      <c r="R16" s="39" t="n">
        <f aca="false">Q16=B16</f>
        <v>1</v>
      </c>
    </row>
    <row r="17" customFormat="false" ht="11.25" hidden="false" customHeight="true" outlineLevel="0" collapsed="false">
      <c r="A17" s="50" t="s">
        <v>67</v>
      </c>
      <c r="B17" s="45" t="n">
        <f aca="false">SUM(C17:N17)</f>
        <v>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P17" s="51" t="n">
        <f aca="false">M17</f>
        <v>0</v>
      </c>
      <c r="Q17" s="48" t="n">
        <f aca="false">SUM(C17:N17)</f>
        <v>0</v>
      </c>
      <c r="R17" s="39" t="n">
        <f aca="false">Q17=B17</f>
        <v>1</v>
      </c>
    </row>
    <row r="18" customFormat="false" ht="11.25" hidden="false" customHeight="true" outlineLevel="0" collapsed="false">
      <c r="A18" s="50" t="s">
        <v>68</v>
      </c>
      <c r="B18" s="45" t="n">
        <f aca="false">SUM(C18:N18)</f>
        <v>0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P18" s="51" t="n">
        <f aca="false">M18</f>
        <v>0</v>
      </c>
      <c r="Q18" s="48" t="n">
        <f aca="false">SUM(C18:N18)</f>
        <v>0</v>
      </c>
      <c r="R18" s="39" t="n">
        <f aca="false">Q18=B18</f>
        <v>1</v>
      </c>
    </row>
    <row r="19" customFormat="false" ht="11.25" hidden="false" customHeight="true" outlineLevel="0" collapsed="false">
      <c r="A19" s="50" t="s">
        <v>69</v>
      </c>
      <c r="B19" s="45" t="n">
        <f aca="false">SUM(C19:N19)</f>
        <v>0</v>
      </c>
      <c r="C19" s="45"/>
      <c r="D19" s="52"/>
      <c r="E19" s="45"/>
      <c r="F19" s="45"/>
      <c r="G19" s="45"/>
      <c r="H19" s="45"/>
      <c r="I19" s="45"/>
      <c r="J19" s="45"/>
      <c r="K19" s="45"/>
      <c r="L19" s="45"/>
      <c r="M19" s="45"/>
      <c r="N19" s="45"/>
      <c r="P19" s="51" t="n">
        <f aca="false">M19</f>
        <v>0</v>
      </c>
      <c r="Q19" s="48" t="n">
        <f aca="false">SUM(C19:N19)</f>
        <v>0</v>
      </c>
      <c r="R19" s="39" t="n">
        <f aca="false">Q19=B19</f>
        <v>1</v>
      </c>
    </row>
    <row r="20" customFormat="false" ht="13.5" hidden="false" customHeight="true" outlineLevel="0" collapsed="false">
      <c r="A20" s="44" t="s">
        <v>70</v>
      </c>
      <c r="B20" s="45" t="n">
        <f aca="false">SUM(C20:N20)</f>
        <v>0</v>
      </c>
      <c r="C20" s="45" t="n">
        <f aca="false">C2+C6+C10+C12</f>
        <v>0</v>
      </c>
      <c r="D20" s="45" t="n">
        <f aca="false">D2+D6+D10+D12</f>
        <v>0</v>
      </c>
      <c r="E20" s="45" t="n">
        <f aca="false">E2+E6+E10+E12</f>
        <v>0</v>
      </c>
      <c r="F20" s="45" t="n">
        <f aca="false">F2+F6+F10+F12</f>
        <v>0</v>
      </c>
      <c r="G20" s="45" t="n">
        <f aca="false">G2+G6+G10+G12</f>
        <v>0</v>
      </c>
      <c r="H20" s="45" t="n">
        <f aca="false">H2+H6+H10+H12</f>
        <v>0</v>
      </c>
      <c r="I20" s="45" t="n">
        <f aca="false">I2+I6+I10+I12</f>
        <v>0</v>
      </c>
      <c r="J20" s="45" t="n">
        <f aca="false">J2+J6+J10+J12</f>
        <v>0</v>
      </c>
      <c r="K20" s="45" t="n">
        <f aca="false">K2+K6+K10+K12</f>
        <v>0</v>
      </c>
      <c r="L20" s="45" t="n">
        <f aca="false">L2+L6+L10+L12</f>
        <v>0</v>
      </c>
      <c r="M20" s="45" t="n">
        <f aca="false">M2+M6+M10+M12</f>
        <v>0</v>
      </c>
      <c r="N20" s="45" t="n">
        <f aca="false">N2+N6+N10+N12</f>
        <v>0</v>
      </c>
      <c r="P20" s="51" t="n">
        <f aca="false">M20</f>
        <v>0</v>
      </c>
      <c r="Q20" s="48" t="n">
        <f aca="false">SUM(C20:N20)</f>
        <v>0</v>
      </c>
      <c r="R20" s="39" t="n">
        <f aca="false">Q20=B20</f>
        <v>1</v>
      </c>
    </row>
    <row r="21" customFormat="false" ht="13.5" hidden="false" customHeight="true" outlineLevel="0" collapsed="false">
      <c r="A21" s="44" t="s">
        <v>71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P21" s="51" t="n">
        <f aca="false">M21</f>
        <v>0</v>
      </c>
      <c r="Q21" s="48" t="n">
        <f aca="false">SUM(C21:N21)</f>
        <v>0</v>
      </c>
      <c r="R21" s="39" t="n">
        <f aca="false">Q21=B21</f>
        <v>1</v>
      </c>
    </row>
    <row r="22" customFormat="false" ht="13.5" hidden="false" customHeight="true" outlineLevel="0" collapsed="false">
      <c r="A22" s="44" t="s">
        <v>72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P22" s="51" t="n">
        <f aca="false">M22</f>
        <v>0</v>
      </c>
      <c r="Q22" s="48" t="n">
        <f aca="false">SUM(C22:N22)</f>
        <v>0</v>
      </c>
      <c r="R22" s="39" t="n">
        <f aca="false">Q22=B22</f>
        <v>1</v>
      </c>
    </row>
    <row r="23" customFormat="false" ht="13.5" hidden="false" customHeight="true" outlineLevel="0" collapsed="false">
      <c r="A23" s="44" t="s">
        <v>73</v>
      </c>
      <c r="B23" s="45" t="n">
        <f aca="false">SUM(C23:N23)</f>
        <v>0</v>
      </c>
      <c r="C23" s="45" t="n">
        <f aca="false">C20</f>
        <v>0</v>
      </c>
      <c r="D23" s="45" t="n">
        <f aca="false">D20</f>
        <v>0</v>
      </c>
      <c r="E23" s="45" t="n">
        <f aca="false">E20</f>
        <v>0</v>
      </c>
      <c r="F23" s="45" t="n">
        <f aca="false">F20</f>
        <v>0</v>
      </c>
      <c r="G23" s="45" t="n">
        <f aca="false">G20</f>
        <v>0</v>
      </c>
      <c r="H23" s="45" t="n">
        <f aca="false">H20</f>
        <v>0</v>
      </c>
      <c r="I23" s="45" t="n">
        <f aca="false">I20</f>
        <v>0</v>
      </c>
      <c r="J23" s="45" t="n">
        <f aca="false">J20</f>
        <v>0</v>
      </c>
      <c r="K23" s="45" t="n">
        <f aca="false">K20</f>
        <v>0</v>
      </c>
      <c r="L23" s="45" t="n">
        <f aca="false">L20</f>
        <v>0</v>
      </c>
      <c r="M23" s="45" t="n">
        <f aca="false">M20</f>
        <v>0</v>
      </c>
      <c r="N23" s="45" t="n">
        <f aca="false">N20</f>
        <v>0</v>
      </c>
      <c r="P23" s="51" t="n">
        <f aca="false">M23</f>
        <v>0</v>
      </c>
      <c r="Q23" s="48" t="n">
        <f aca="false">SUM(C23:N23)</f>
        <v>0</v>
      </c>
      <c r="R23" s="39" t="n">
        <f aca="false">Q23=B23</f>
        <v>1</v>
      </c>
    </row>
    <row r="24" customFormat="false" ht="13.5" hidden="false" customHeight="true" outlineLevel="0" collapsed="false">
      <c r="A24" s="44" t="s">
        <v>74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P24" s="51" t="n">
        <f aca="false">M24</f>
        <v>0</v>
      </c>
      <c r="Q24" s="48" t="n">
        <f aca="false">SUM(C24:N24)</f>
        <v>0</v>
      </c>
      <c r="R24" s="39" t="n">
        <f aca="false">Q24=B24</f>
        <v>1</v>
      </c>
    </row>
    <row r="25" customFormat="false" ht="13.5" hidden="false" customHeight="true" outlineLevel="0" collapsed="false">
      <c r="A25" s="44" t="s">
        <v>75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P25" s="51" t="n">
        <f aca="false">M25</f>
        <v>0</v>
      </c>
      <c r="Q25" s="48" t="n">
        <f aca="false">SUM(C25:N25)</f>
        <v>0</v>
      </c>
      <c r="R25" s="39" t="n">
        <f aca="false">Q25=B25</f>
        <v>1</v>
      </c>
    </row>
    <row r="26" customFormat="false" ht="13.5" hidden="false" customHeight="true" outlineLevel="0" collapsed="false">
      <c r="A26" s="44" t="s">
        <v>76</v>
      </c>
      <c r="B26" s="45" t="n">
        <f aca="false">SUM(C26:N26)</f>
        <v>0</v>
      </c>
      <c r="C26" s="45" t="n">
        <f aca="false">C23</f>
        <v>0</v>
      </c>
      <c r="D26" s="45" t="n">
        <f aca="false">D23</f>
        <v>0</v>
      </c>
      <c r="E26" s="45" t="n">
        <f aca="false">E23</f>
        <v>0</v>
      </c>
      <c r="F26" s="45" t="n">
        <f aca="false">F23</f>
        <v>0</v>
      </c>
      <c r="G26" s="45" t="n">
        <f aca="false">G23</f>
        <v>0</v>
      </c>
      <c r="H26" s="45" t="n">
        <f aca="false">H23</f>
        <v>0</v>
      </c>
      <c r="I26" s="45" t="n">
        <f aca="false">I23</f>
        <v>0</v>
      </c>
      <c r="J26" s="45" t="n">
        <f aca="false">J23</f>
        <v>0</v>
      </c>
      <c r="K26" s="45" t="n">
        <f aca="false">K23</f>
        <v>0</v>
      </c>
      <c r="L26" s="45" t="n">
        <f aca="false">L23</f>
        <v>0</v>
      </c>
      <c r="M26" s="45" t="n">
        <f aca="false">M23</f>
        <v>0</v>
      </c>
      <c r="N26" s="45" t="n">
        <f aca="false">N23</f>
        <v>0</v>
      </c>
      <c r="P26" s="51" t="n">
        <f aca="false">M26</f>
        <v>0</v>
      </c>
      <c r="Q26" s="48" t="n">
        <f aca="false">SUM(C26:N26)</f>
        <v>0</v>
      </c>
      <c r="R26" s="39" t="n">
        <f aca="false">Q26=B26</f>
        <v>1</v>
      </c>
    </row>
    <row r="27" customFormat="false" ht="11.25" hidden="false" customHeight="true" outlineLevel="0" collapsed="false"/>
    <row r="28" customFormat="false" ht="11.25" hidden="false" customHeight="true" outlineLevel="0" collapsed="false"/>
    <row r="29" customFormat="false" ht="11.25" hidden="false" customHeight="true" outlineLevel="0" collapsed="false"/>
    <row r="30" customFormat="false" ht="11.25" hidden="false" customHeight="true" outlineLevel="0" collapsed="false">
      <c r="B30" s="49"/>
      <c r="C30" s="49"/>
    </row>
    <row r="31" customFormat="false" ht="18" hidden="false" customHeight="true" outlineLevel="0" collapsed="false">
      <c r="A31" s="40" t="s">
        <v>36</v>
      </c>
      <c r="B31" s="40" t="s">
        <v>37</v>
      </c>
      <c r="C31" s="42" t="s">
        <v>38</v>
      </c>
      <c r="D31" s="42" t="s">
        <v>39</v>
      </c>
      <c r="E31" s="42" t="s">
        <v>40</v>
      </c>
      <c r="F31" s="42" t="s">
        <v>41</v>
      </c>
      <c r="G31" s="42" t="s">
        <v>42</v>
      </c>
      <c r="H31" s="42" t="s">
        <v>43</v>
      </c>
      <c r="I31" s="42" t="s">
        <v>44</v>
      </c>
      <c r="J31" s="42" t="s">
        <v>45</v>
      </c>
      <c r="K31" s="42" t="s">
        <v>46</v>
      </c>
      <c r="L31" s="42" t="s">
        <v>47</v>
      </c>
      <c r="M31" s="42" t="s">
        <v>48</v>
      </c>
      <c r="N31" s="42" t="s">
        <v>49</v>
      </c>
      <c r="P31" s="43" t="s">
        <v>50</v>
      </c>
      <c r="Q31" s="43" t="s">
        <v>51</v>
      </c>
    </row>
    <row r="32" customFormat="false" ht="13.5" hidden="false" customHeight="true" outlineLevel="0" collapsed="false">
      <c r="A32" s="44" t="s">
        <v>77</v>
      </c>
      <c r="B32" s="45" t="n">
        <f aca="false">SUM(C32:N32)</f>
        <v>2209269603</v>
      </c>
      <c r="C32" s="45" t="n">
        <f aca="false">SUM(C33:C36)</f>
        <v>284712111</v>
      </c>
      <c r="D32" s="45" t="n">
        <f aca="false">SUM(D33:D36)</f>
        <v>507895922</v>
      </c>
      <c r="E32" s="45" t="n">
        <f aca="false">SUM(E33:E36)</f>
        <v>64127445</v>
      </c>
      <c r="F32" s="45" t="n">
        <f aca="false">SUM(F33:F36)</f>
        <v>455027491</v>
      </c>
      <c r="G32" s="45" t="n">
        <f aca="false">SUM(G33:G36)</f>
        <v>383427327</v>
      </c>
      <c r="H32" s="45" t="n">
        <f aca="false">SUM(H33:H36)</f>
        <v>380380144</v>
      </c>
      <c r="I32" s="45" t="n">
        <f aca="false">SUM(I33:I36)</f>
        <v>133699163</v>
      </c>
      <c r="J32" s="45" t="n">
        <f aca="false">SUM(J33:J36)</f>
        <v>0</v>
      </c>
      <c r="K32" s="45" t="n">
        <f aca="false">SUM(K33:K36)</f>
        <v>0</v>
      </c>
      <c r="L32" s="45" t="n">
        <f aca="false">SUM(L33:L36)</f>
        <v>0</v>
      </c>
      <c r="M32" s="45" t="n">
        <f aca="false">SUM(M33:M36)</f>
        <v>0</v>
      </c>
      <c r="N32" s="45" t="n">
        <f aca="false">SUM(N33:N36)</f>
        <v>0</v>
      </c>
      <c r="O32" s="49"/>
      <c r="P32" s="51" t="n">
        <f aca="false">I32</f>
        <v>133699163</v>
      </c>
      <c r="Q32" s="49" t="n">
        <f aca="false">SUM(C32:N32)</f>
        <v>2209269603</v>
      </c>
      <c r="R32" s="39" t="n">
        <f aca="false">Q32=B32</f>
        <v>1</v>
      </c>
    </row>
    <row r="33" customFormat="false" ht="11.25" hidden="false" customHeight="true" outlineLevel="0" collapsed="false">
      <c r="A33" s="50" t="s">
        <v>78</v>
      </c>
      <c r="B33" s="45" t="n">
        <f aca="false">SUM(C33:N33)</f>
        <v>2209269603</v>
      </c>
      <c r="C33" s="45" t="n">
        <v>284712111</v>
      </c>
      <c r="D33" s="45" t="n">
        <v>507895922</v>
      </c>
      <c r="E33" s="45" t="n">
        <v>64127445</v>
      </c>
      <c r="F33" s="45" t="n">
        <v>455027491</v>
      </c>
      <c r="G33" s="45" t="n">
        <v>383427327</v>
      </c>
      <c r="H33" s="45" t="n">
        <v>380380144</v>
      </c>
      <c r="I33" s="45" t="n">
        <v>133699163</v>
      </c>
      <c r="J33" s="45"/>
      <c r="K33" s="45"/>
      <c r="L33" s="45"/>
      <c r="M33" s="45"/>
      <c r="N33" s="53"/>
      <c r="O33" s="49"/>
      <c r="P33" s="51" t="n">
        <f aca="false">I33</f>
        <v>133699163</v>
      </c>
      <c r="Q33" s="49" t="n">
        <f aca="false">SUM(C33:N33)</f>
        <v>2209269603</v>
      </c>
      <c r="R33" s="39" t="n">
        <f aca="false">Q33=B33</f>
        <v>1</v>
      </c>
    </row>
    <row r="34" customFormat="false" ht="11.25" hidden="false" customHeight="true" outlineLevel="0" collapsed="false">
      <c r="A34" s="50" t="s">
        <v>79</v>
      </c>
      <c r="B34" s="45" t="n">
        <f aca="false">SUM(C34:N34)</f>
        <v>0</v>
      </c>
      <c r="C34" s="45"/>
      <c r="D34" s="45"/>
      <c r="E34" s="45"/>
      <c r="F34" s="45"/>
      <c r="G34" s="45"/>
      <c r="H34" s="45"/>
      <c r="I34" s="45" t="n">
        <v>0</v>
      </c>
      <c r="J34" s="45"/>
      <c r="K34" s="45"/>
      <c r="L34" s="45"/>
      <c r="M34" s="45"/>
      <c r="N34" s="53"/>
      <c r="O34" s="49"/>
      <c r="P34" s="51" t="n">
        <f aca="false">I34</f>
        <v>0</v>
      </c>
      <c r="Q34" s="49" t="n">
        <f aca="false">SUM(C34:N34)</f>
        <v>0</v>
      </c>
      <c r="R34" s="39" t="n">
        <f aca="false">Q34=B34</f>
        <v>1</v>
      </c>
    </row>
    <row r="35" customFormat="false" ht="11.25" hidden="true" customHeight="true" outlineLevel="0" collapsed="false">
      <c r="A35" s="50" t="s">
        <v>80</v>
      </c>
      <c r="B35" s="45" t="n">
        <f aca="false">SUM(C35:N35)</f>
        <v>0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53"/>
      <c r="O35" s="49"/>
      <c r="P35" s="51" t="n">
        <f aca="false">I35</f>
        <v>0</v>
      </c>
      <c r="Q35" s="49"/>
    </row>
    <row r="36" customFormat="false" ht="11.25" hidden="false" customHeight="true" outlineLevel="0" collapsed="false">
      <c r="A36" s="50" t="s">
        <v>81</v>
      </c>
      <c r="B36" s="45" t="n">
        <f aca="false">SUM(C36:N36)</f>
        <v>0</v>
      </c>
      <c r="C36" s="45"/>
      <c r="D36" s="45"/>
      <c r="E36" s="45"/>
      <c r="F36" s="45"/>
      <c r="G36" s="45"/>
      <c r="H36" s="45"/>
      <c r="I36" s="45" t="n">
        <v>0</v>
      </c>
      <c r="J36" s="45"/>
      <c r="K36" s="45"/>
      <c r="L36" s="45"/>
      <c r="M36" s="45"/>
      <c r="N36" s="45"/>
      <c r="O36" s="49"/>
      <c r="P36" s="51" t="n">
        <f aca="false">I36</f>
        <v>0</v>
      </c>
      <c r="Q36" s="49" t="n">
        <f aca="false">SUM(C36:N36)</f>
        <v>0</v>
      </c>
      <c r="R36" s="39" t="n">
        <f aca="false">Q36=B36</f>
        <v>1</v>
      </c>
    </row>
    <row r="37" customFormat="false" ht="13.5" hidden="false" customHeight="true" outlineLevel="0" collapsed="false">
      <c r="A37" s="54" t="s">
        <v>82</v>
      </c>
      <c r="B37" s="55" t="n">
        <f aca="false">SUM(C37:N37)</f>
        <v>1866139788</v>
      </c>
      <c r="C37" s="55" t="n">
        <f aca="false">C38+C43</f>
        <v>238215409</v>
      </c>
      <c r="D37" s="56" t="n">
        <f aca="false">D38+D43</f>
        <v>459571912</v>
      </c>
      <c r="E37" s="55" t="n">
        <f aca="false">E38+E43</f>
        <v>14847458</v>
      </c>
      <c r="F37" s="55" t="n">
        <f aca="false">F38+F43</f>
        <v>399821106</v>
      </c>
      <c r="G37" s="55" t="n">
        <f aca="false">G38+G43</f>
        <v>328467721</v>
      </c>
      <c r="H37" s="55" t="n">
        <f aca="false">H38+H43</f>
        <v>325146649</v>
      </c>
      <c r="I37" s="55" t="n">
        <f aca="false">I38+I43</f>
        <v>100069533</v>
      </c>
      <c r="J37" s="55" t="n">
        <f aca="false">J38+J43</f>
        <v>0</v>
      </c>
      <c r="K37" s="55" t="n">
        <f aca="false">K38+K43</f>
        <v>0</v>
      </c>
      <c r="L37" s="55" t="n">
        <f aca="false">L38+L43</f>
        <v>0</v>
      </c>
      <c r="M37" s="55" t="n">
        <f aca="false">M38+M43</f>
        <v>0</v>
      </c>
      <c r="N37" s="55" t="n">
        <f aca="false">N38+N43</f>
        <v>0</v>
      </c>
      <c r="O37" s="49"/>
      <c r="P37" s="51" t="n">
        <f aca="false">I37</f>
        <v>100069533</v>
      </c>
      <c r="Q37" s="49" t="n">
        <f aca="false">SUM(C37:N37)</f>
        <v>1866139788</v>
      </c>
      <c r="R37" s="39" t="n">
        <f aca="false">Q37=B37</f>
        <v>1</v>
      </c>
    </row>
    <row r="38" customFormat="false" ht="11.25" hidden="false" customHeight="true" outlineLevel="0" collapsed="false">
      <c r="A38" s="57" t="s">
        <v>83</v>
      </c>
      <c r="B38" s="55" t="n">
        <f aca="false">B39+B40-B42+B41</f>
        <v>1836260319</v>
      </c>
      <c r="C38" s="55" t="n">
        <f aca="false">C39+C40-C42+C41</f>
        <v>238215409</v>
      </c>
      <c r="D38" s="55" t="n">
        <f aca="false">D39+D40-D42+D41+6543873</f>
        <v>459571912</v>
      </c>
      <c r="E38" s="55" t="n">
        <f aca="false">E39+E40-E42+E41-6543873</f>
        <v>14847458</v>
      </c>
      <c r="F38" s="55" t="n">
        <f aca="false">F39+F40-F42+F41</f>
        <v>399821106</v>
      </c>
      <c r="G38" s="55" t="n">
        <f aca="false">G39+G40-G42+G41</f>
        <v>328467721</v>
      </c>
      <c r="H38" s="55" t="n">
        <f aca="false">H39+H40-H42+H41</f>
        <v>325146649</v>
      </c>
      <c r="I38" s="55" t="n">
        <f aca="false">I39+I40-I42+I41</f>
        <v>100069533</v>
      </c>
      <c r="J38" s="55" t="n">
        <f aca="false">J39+J40-J42+J41</f>
        <v>0</v>
      </c>
      <c r="K38" s="55" t="n">
        <f aca="false">K39+K40-K42+K41</f>
        <v>0</v>
      </c>
      <c r="L38" s="55" t="n">
        <f aca="false">L39+L40-L42+L41</f>
        <v>0</v>
      </c>
      <c r="M38" s="55" t="n">
        <f aca="false">M39+M40-M42+M41</f>
        <v>0</v>
      </c>
      <c r="N38" s="55" t="n">
        <f aca="false">N39+N40-N42+N41</f>
        <v>0</v>
      </c>
      <c r="O38" s="49"/>
      <c r="P38" s="51" t="n">
        <f aca="false">I38</f>
        <v>100069533</v>
      </c>
      <c r="Q38" s="49" t="n">
        <f aca="false">SUM(C38:N38)</f>
        <v>1866139788</v>
      </c>
      <c r="R38" s="39" t="n">
        <f aca="false">Q38=B38</f>
        <v>0</v>
      </c>
    </row>
    <row r="39" customFormat="false" ht="11.25" hidden="false" customHeight="true" outlineLevel="0" collapsed="false">
      <c r="A39" s="57" t="s">
        <v>84</v>
      </c>
      <c r="B39" s="55" t="n">
        <f aca="false">C39</f>
        <v>1089627615</v>
      </c>
      <c r="C39" s="55" t="n">
        <v>1089627615</v>
      </c>
      <c r="D39" s="55" t="n">
        <f aca="false">C42</f>
        <v>1078344448</v>
      </c>
      <c r="E39" s="55" t="n">
        <f aca="false">D42</f>
        <v>1064999154</v>
      </c>
      <c r="F39" s="55" t="n">
        <f aca="false">E42</f>
        <v>1016409141</v>
      </c>
      <c r="G39" s="55" t="n">
        <f aca="false">F42</f>
        <v>981290964</v>
      </c>
      <c r="H39" s="55" t="n">
        <f aca="false">G42</f>
        <v>946168122</v>
      </c>
      <c r="I39" s="55" t="n">
        <f aca="false">H42</f>
        <v>941063940</v>
      </c>
      <c r="J39" s="55"/>
      <c r="K39" s="55" t="n">
        <f aca="false">J42</f>
        <v>0</v>
      </c>
      <c r="L39" s="55" t="n">
        <f aca="false">K42</f>
        <v>0</v>
      </c>
      <c r="M39" s="55" t="n">
        <f aca="false">L42</f>
        <v>0</v>
      </c>
      <c r="N39" s="55" t="n">
        <f aca="false">M42</f>
        <v>0</v>
      </c>
      <c r="O39" s="49"/>
      <c r="P39" s="51" t="n">
        <f aca="false">I39</f>
        <v>941063940</v>
      </c>
      <c r="Q39" s="49" t="n">
        <f aca="false">SUM(C39)</f>
        <v>1089627615</v>
      </c>
      <c r="R39" s="39" t="n">
        <f aca="false">Q39=B39</f>
        <v>1</v>
      </c>
    </row>
    <row r="40" customFormat="false" ht="11.25" hidden="false" customHeight="true" outlineLevel="0" collapsed="false">
      <c r="A40" s="57" t="s">
        <v>85</v>
      </c>
      <c r="B40" s="55" t="n">
        <f aca="false">SUM(C40:N40)</f>
        <v>1862789775</v>
      </c>
      <c r="C40" s="55" t="n">
        <v>238134551</v>
      </c>
      <c r="D40" s="55" t="n">
        <v>452844554</v>
      </c>
      <c r="E40" s="55" t="n">
        <v>21257604</v>
      </c>
      <c r="F40" s="55" t="n">
        <v>399702929</v>
      </c>
      <c r="G40" s="55" t="n">
        <v>328344879</v>
      </c>
      <c r="H40" s="55" t="n">
        <v>325042467</v>
      </c>
      <c r="I40" s="55" t="n">
        <v>97462791</v>
      </c>
      <c r="J40" s="55"/>
      <c r="K40" s="55"/>
      <c r="L40" s="55"/>
      <c r="M40" s="55"/>
      <c r="N40" s="58"/>
      <c r="O40" s="49"/>
      <c r="P40" s="51" t="n">
        <f aca="false">I40</f>
        <v>97462791</v>
      </c>
      <c r="Q40" s="49" t="n">
        <f aca="false">SUM(C40:N40)</f>
        <v>1862789775</v>
      </c>
      <c r="R40" s="39" t="n">
        <f aca="false">Q40=B40</f>
        <v>1</v>
      </c>
    </row>
    <row r="41" customFormat="false" ht="11.25" hidden="false" customHeight="true" outlineLevel="0" collapsed="false">
      <c r="A41" s="57" t="s">
        <v>86</v>
      </c>
      <c r="B41" s="55" t="n">
        <f aca="false">SUM(C41:N41)</f>
        <v>-175093131</v>
      </c>
      <c r="C41" s="55" t="n">
        <v>-11202309</v>
      </c>
      <c r="D41" s="55" t="n">
        <v>-13161809</v>
      </c>
      <c r="E41" s="55" t="n">
        <v>-48456286</v>
      </c>
      <c r="F41" s="55" t="n">
        <v>-35000000</v>
      </c>
      <c r="G41" s="55" t="n">
        <v>-35000000</v>
      </c>
      <c r="H41" s="55" t="n">
        <v>-5000000</v>
      </c>
      <c r="I41" s="55" t="n">
        <v>-27272727</v>
      </c>
      <c r="J41" s="55"/>
      <c r="K41" s="55"/>
      <c r="L41" s="55"/>
      <c r="M41" s="55"/>
      <c r="N41" s="58"/>
      <c r="O41" s="49"/>
      <c r="P41" s="51" t="n">
        <f aca="false">I41</f>
        <v>-27272727</v>
      </c>
      <c r="Q41" s="49" t="n">
        <f aca="false">SUM(C41:N41)</f>
        <v>-175093131</v>
      </c>
      <c r="R41" s="39" t="n">
        <f aca="false">Q41=B41</f>
        <v>1</v>
      </c>
    </row>
    <row r="42" customFormat="false" ht="11.25" hidden="false" customHeight="true" outlineLevel="0" collapsed="false">
      <c r="A42" s="57" t="s">
        <v>87</v>
      </c>
      <c r="B42" s="55" t="n">
        <f aca="false">H42</f>
        <v>941063940</v>
      </c>
      <c r="C42" s="55" t="n">
        <v>1078344448</v>
      </c>
      <c r="D42" s="55" t="n">
        <v>1064999154</v>
      </c>
      <c r="E42" s="55" t="n">
        <v>1016409141</v>
      </c>
      <c r="F42" s="55" t="n">
        <v>981290964</v>
      </c>
      <c r="G42" s="55" t="n">
        <v>946168122</v>
      </c>
      <c r="H42" s="55" t="n">
        <v>941063940</v>
      </c>
      <c r="I42" s="55" t="n">
        <v>911184471</v>
      </c>
      <c r="J42" s="55"/>
      <c r="K42" s="55"/>
      <c r="L42" s="55"/>
      <c r="M42" s="55"/>
      <c r="N42" s="58"/>
      <c r="O42" s="49"/>
      <c r="P42" s="51" t="n">
        <f aca="false">I42</f>
        <v>911184471</v>
      </c>
      <c r="Q42" s="49" t="n">
        <f aca="false">SUM(I42)</f>
        <v>911184471</v>
      </c>
      <c r="R42" s="39" t="n">
        <f aca="false">Q42=B42</f>
        <v>0</v>
      </c>
    </row>
    <row r="43" customFormat="false" ht="11.25" hidden="false" customHeight="true" outlineLevel="0" collapsed="false">
      <c r="A43" s="57" t="s">
        <v>88</v>
      </c>
      <c r="B43" s="55" t="n">
        <f aca="false">B44+B45-B46</f>
        <v>0</v>
      </c>
      <c r="C43" s="55" t="n">
        <f aca="false">C44+C45-C46</f>
        <v>0</v>
      </c>
      <c r="D43" s="56" t="n">
        <f aca="false">D44+D45-D46</f>
        <v>0</v>
      </c>
      <c r="E43" s="55" t="n">
        <f aca="false">E44+E45-E46</f>
        <v>0</v>
      </c>
      <c r="F43" s="55" t="n">
        <f aca="false">F44+F45-F46</f>
        <v>0</v>
      </c>
      <c r="G43" s="55" t="n">
        <f aca="false">G44+G45-G46</f>
        <v>0</v>
      </c>
      <c r="H43" s="55" t="n">
        <f aca="false">H44+H45-H46</f>
        <v>0</v>
      </c>
      <c r="I43" s="55" t="n">
        <f aca="false">I44+I45-I46</f>
        <v>0</v>
      </c>
      <c r="J43" s="55" t="n">
        <f aca="false">J44+J45-J46</f>
        <v>0</v>
      </c>
      <c r="K43" s="55" t="n">
        <f aca="false">K44+K45-K46</f>
        <v>0</v>
      </c>
      <c r="L43" s="55" t="n">
        <f aca="false">L44+L45-L46</f>
        <v>0</v>
      </c>
      <c r="M43" s="55" t="n">
        <f aca="false">M44+M45-M46</f>
        <v>0</v>
      </c>
      <c r="N43" s="55" t="n">
        <f aca="false">N44+N45-N46</f>
        <v>0</v>
      </c>
      <c r="O43" s="49"/>
      <c r="P43" s="51" t="n">
        <f aca="false">I43</f>
        <v>0</v>
      </c>
      <c r="Q43" s="49" t="n">
        <f aca="false">SUM(C43:N43)</f>
        <v>0</v>
      </c>
      <c r="R43" s="39" t="n">
        <f aca="false">Q43=B43</f>
        <v>1</v>
      </c>
      <c r="S43" s="49" t="n">
        <f aca="false">Q43-B43</f>
        <v>0</v>
      </c>
    </row>
    <row r="44" customFormat="false" ht="11.25" hidden="false" customHeight="true" outlineLevel="0" collapsed="false">
      <c r="A44" s="57" t="s">
        <v>89</v>
      </c>
      <c r="B44" s="55" t="n">
        <f aca="false">C44</f>
        <v>230834232</v>
      </c>
      <c r="C44" s="55" t="n">
        <v>230834232</v>
      </c>
      <c r="D44" s="55" t="n">
        <f aca="false">C46</f>
        <v>230834232</v>
      </c>
      <c r="E44" s="55" t="n">
        <f aca="false">D46</f>
        <v>230834232</v>
      </c>
      <c r="F44" s="55" t="n">
        <f aca="false">E46</f>
        <v>230834232</v>
      </c>
      <c r="G44" s="55" t="n">
        <f aca="false">F46</f>
        <v>230834232</v>
      </c>
      <c r="H44" s="55" t="n">
        <f aca="false">G46</f>
        <v>230834232</v>
      </c>
      <c r="I44" s="55" t="n">
        <f aca="false">H46</f>
        <v>230834232</v>
      </c>
      <c r="J44" s="55"/>
      <c r="K44" s="55" t="n">
        <f aca="false">J46</f>
        <v>0</v>
      </c>
      <c r="L44" s="55" t="n">
        <f aca="false">K46</f>
        <v>0</v>
      </c>
      <c r="M44" s="55" t="n">
        <f aca="false">L46</f>
        <v>0</v>
      </c>
      <c r="N44" s="55" t="n">
        <f aca="false">M46</f>
        <v>0</v>
      </c>
      <c r="O44" s="49"/>
      <c r="P44" s="51" t="n">
        <f aca="false">I44</f>
        <v>230834232</v>
      </c>
      <c r="Q44" s="49" t="n">
        <f aca="false">SUM(C44)</f>
        <v>230834232</v>
      </c>
      <c r="R44" s="39" t="n">
        <f aca="false">Q44=B44</f>
        <v>1</v>
      </c>
    </row>
    <row r="45" customFormat="false" ht="11.25" hidden="false" customHeight="true" outlineLevel="0" collapsed="false">
      <c r="A45" s="57" t="s">
        <v>90</v>
      </c>
      <c r="B45" s="55" t="n">
        <f aca="false">SUM(C45:N45)</f>
        <v>0</v>
      </c>
      <c r="C45" s="55"/>
      <c r="D45" s="56"/>
      <c r="E45" s="56"/>
      <c r="F45" s="56"/>
      <c r="G45" s="56"/>
      <c r="H45" s="55"/>
      <c r="I45" s="55" t="n">
        <v>0</v>
      </c>
      <c r="J45" s="55"/>
      <c r="K45" s="55"/>
      <c r="L45" s="55"/>
      <c r="M45" s="55"/>
      <c r="N45" s="55"/>
      <c r="O45" s="49"/>
      <c r="P45" s="51" t="n">
        <f aca="false">I45</f>
        <v>0</v>
      </c>
      <c r="Q45" s="49" t="n">
        <f aca="false">SUM(C45:N45)</f>
        <v>0</v>
      </c>
      <c r="R45" s="39" t="n">
        <f aca="false">Q45=B45</f>
        <v>1</v>
      </c>
    </row>
    <row r="46" customFormat="false" ht="11.25" hidden="false" customHeight="true" outlineLevel="0" collapsed="false">
      <c r="A46" s="57" t="s">
        <v>91</v>
      </c>
      <c r="B46" s="55" t="n">
        <f aca="false">E46</f>
        <v>230834232</v>
      </c>
      <c r="C46" s="55" t="n">
        <v>230834232</v>
      </c>
      <c r="D46" s="55" t="n">
        <v>230834232</v>
      </c>
      <c r="E46" s="55" t="n">
        <v>230834232</v>
      </c>
      <c r="F46" s="55" t="n">
        <v>230834232</v>
      </c>
      <c r="G46" s="55" t="n">
        <v>230834232</v>
      </c>
      <c r="H46" s="55" t="n">
        <v>230834232</v>
      </c>
      <c r="I46" s="55" t="n">
        <v>230834232</v>
      </c>
      <c r="J46" s="55"/>
      <c r="K46" s="55"/>
      <c r="L46" s="55"/>
      <c r="M46" s="55"/>
      <c r="N46" s="55"/>
      <c r="O46" s="49"/>
      <c r="P46" s="51" t="n">
        <f aca="false">I46</f>
        <v>230834232</v>
      </c>
      <c r="Q46" s="49" t="n">
        <f aca="false">SUM(I46)</f>
        <v>230834232</v>
      </c>
      <c r="R46" s="39" t="n">
        <f aca="false">Q46=B46</f>
        <v>1</v>
      </c>
    </row>
    <row r="47" customFormat="false" ht="14.25" hidden="false" customHeight="true" outlineLevel="0" collapsed="false">
      <c r="A47" s="44" t="s">
        <v>92</v>
      </c>
      <c r="B47" s="45" t="n">
        <f aca="false">SUM(C47:N47)</f>
        <v>343129815</v>
      </c>
      <c r="C47" s="45" t="n">
        <f aca="false">C32-C37</f>
        <v>46496702</v>
      </c>
      <c r="D47" s="59" t="n">
        <f aca="false">D32-D37</f>
        <v>48324010</v>
      </c>
      <c r="E47" s="45" t="n">
        <f aca="false">E32-E37</f>
        <v>49279987</v>
      </c>
      <c r="F47" s="45" t="n">
        <f aca="false">F32-F37</f>
        <v>55206385</v>
      </c>
      <c r="G47" s="45" t="n">
        <f aca="false">G32-G37</f>
        <v>54959606</v>
      </c>
      <c r="H47" s="45" t="n">
        <f aca="false">H32-H37</f>
        <v>55233495</v>
      </c>
      <c r="I47" s="45" t="n">
        <f aca="false">I32-I37</f>
        <v>33629630</v>
      </c>
      <c r="J47" s="45" t="n">
        <f aca="false">J32-J37</f>
        <v>0</v>
      </c>
      <c r="K47" s="45" t="n">
        <f aca="false">K32-K37</f>
        <v>0</v>
      </c>
      <c r="L47" s="45" t="n">
        <f aca="false">L32-L37</f>
        <v>0</v>
      </c>
      <c r="M47" s="45" t="n">
        <f aca="false">M32-M37</f>
        <v>0</v>
      </c>
      <c r="N47" s="45" t="n">
        <f aca="false">N32-N37</f>
        <v>0</v>
      </c>
      <c r="O47" s="49"/>
      <c r="P47" s="51" t="n">
        <f aca="false">I47</f>
        <v>33629630</v>
      </c>
      <c r="Q47" s="49" t="n">
        <f aca="false">SUM(C47:N47)</f>
        <v>343129815</v>
      </c>
      <c r="R47" s="39" t="n">
        <f aca="false">Q47=B47</f>
        <v>1</v>
      </c>
    </row>
    <row r="48" customFormat="false" ht="14.25" hidden="false" customHeight="true" outlineLevel="0" collapsed="false">
      <c r="A48" s="44" t="s">
        <v>93</v>
      </c>
      <c r="B48" s="45" t="n">
        <f aca="false">SUM(C48:N48)</f>
        <v>272502679</v>
      </c>
      <c r="C48" s="45" t="n">
        <f aca="false">SUM(C49:C69)</f>
        <v>41847287</v>
      </c>
      <c r="D48" s="45" t="n">
        <f aca="false">SUM(D49:D69)</f>
        <v>45375216</v>
      </c>
      <c r="E48" s="45" t="n">
        <f aca="false">SUM(E49:E69)</f>
        <v>33989692</v>
      </c>
      <c r="F48" s="45" t="n">
        <f aca="false">SUM(F49:F69)</f>
        <v>38042066</v>
      </c>
      <c r="G48" s="45" t="n">
        <f aca="false">SUM(G49:G69)</f>
        <v>35926094</v>
      </c>
      <c r="H48" s="45" t="n">
        <f aca="false">SUM(H49:H69)</f>
        <v>48428362</v>
      </c>
      <c r="I48" s="45" t="n">
        <f aca="false">SUM(I49:I69)</f>
        <v>28893962</v>
      </c>
      <c r="J48" s="45" t="n">
        <f aca="false">SUM(J49:J69)</f>
        <v>0</v>
      </c>
      <c r="K48" s="45" t="n">
        <f aca="false">SUM(K49:K69)</f>
        <v>0</v>
      </c>
      <c r="L48" s="45" t="n">
        <f aca="false">SUM(L49:L69)</f>
        <v>0</v>
      </c>
      <c r="M48" s="45" t="n">
        <f aca="false">SUM(M49:M69)</f>
        <v>0</v>
      </c>
      <c r="N48" s="45" t="n">
        <f aca="false">SUM(N49:N69)</f>
        <v>0</v>
      </c>
      <c r="O48" s="49"/>
      <c r="P48" s="51" t="n">
        <f aca="false">I48</f>
        <v>28893962</v>
      </c>
      <c r="Q48" s="49" t="n">
        <f aca="false">SUM(C48:N48)</f>
        <v>272502679</v>
      </c>
      <c r="R48" s="39" t="n">
        <f aca="false">Q48=B48</f>
        <v>1</v>
      </c>
    </row>
    <row r="49" customFormat="false" ht="11.25" hidden="false" customHeight="true" outlineLevel="0" collapsed="false">
      <c r="A49" s="57" t="s">
        <v>94</v>
      </c>
      <c r="B49" s="55" t="n">
        <f aca="false">SUM(C49:N49)</f>
        <v>128633106</v>
      </c>
      <c r="C49" s="55" t="n">
        <v>20855010</v>
      </c>
      <c r="D49" s="55" t="n">
        <v>20855010</v>
      </c>
      <c r="E49" s="55" t="n">
        <v>17836406</v>
      </c>
      <c r="F49" s="55" t="n">
        <v>17271670</v>
      </c>
      <c r="G49" s="55" t="n">
        <v>17271670</v>
      </c>
      <c r="H49" s="55" t="n">
        <v>17271670</v>
      </c>
      <c r="I49" s="55" t="n">
        <v>17271670</v>
      </c>
      <c r="J49" s="55"/>
      <c r="K49" s="55"/>
      <c r="L49" s="55"/>
      <c r="M49" s="55"/>
      <c r="N49" s="55"/>
      <c r="O49" s="49"/>
      <c r="P49" s="51" t="n">
        <f aca="false">I49</f>
        <v>17271670</v>
      </c>
      <c r="Q49" s="49" t="n">
        <f aca="false">SUM(C49:N49)</f>
        <v>128633106</v>
      </c>
      <c r="R49" s="39" t="n">
        <f aca="false">Q49=B49</f>
        <v>1</v>
      </c>
    </row>
    <row r="50" customFormat="false" ht="11.25" hidden="false" customHeight="true" outlineLevel="0" collapsed="false">
      <c r="A50" s="50" t="s">
        <v>95</v>
      </c>
      <c r="B50" s="45" t="n">
        <f aca="false">SUM(C50:N50)</f>
        <v>2000000</v>
      </c>
      <c r="C50" s="45"/>
      <c r="D50" s="45" t="n">
        <v>2000000</v>
      </c>
      <c r="E50" s="45"/>
      <c r="F50" s="45"/>
      <c r="G50" s="45"/>
      <c r="H50" s="45"/>
      <c r="I50" s="45" t="n">
        <v>0</v>
      </c>
      <c r="J50" s="45"/>
      <c r="K50" s="45"/>
      <c r="L50" s="45"/>
      <c r="M50" s="45"/>
      <c r="N50" s="45"/>
      <c r="O50" s="49"/>
      <c r="P50" s="51" t="n">
        <f aca="false">I50</f>
        <v>0</v>
      </c>
      <c r="Q50" s="49" t="n">
        <f aca="false">SUM(C50:N50)</f>
        <v>2000000</v>
      </c>
      <c r="R50" s="39" t="n">
        <f aca="false">Q50=B50</f>
        <v>1</v>
      </c>
    </row>
    <row r="51" customFormat="false" ht="11.25" hidden="false" customHeight="true" outlineLevel="0" collapsed="false">
      <c r="A51" s="50" t="s">
        <v>61</v>
      </c>
      <c r="B51" s="45" t="n">
        <f aca="false">SUM(C51:N51)</f>
        <v>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9"/>
      <c r="P51" s="51" t="n">
        <f aca="false">I51</f>
        <v>0</v>
      </c>
      <c r="Q51" s="49" t="n">
        <f aca="false">SUM(C51:N51)</f>
        <v>0</v>
      </c>
      <c r="R51" s="39" t="n">
        <f aca="false">Q51=B51</f>
        <v>1</v>
      </c>
    </row>
    <row r="52" customFormat="false" ht="11.25" hidden="false" customHeight="true" outlineLevel="0" collapsed="false">
      <c r="A52" s="50" t="s">
        <v>96</v>
      </c>
      <c r="B52" s="45" t="n">
        <f aca="false">SUM(C52:N52)</f>
        <v>2830536</v>
      </c>
      <c r="C52" s="45" t="n">
        <v>599029</v>
      </c>
      <c r="D52" s="45" t="n">
        <v>682361</v>
      </c>
      <c r="E52" s="45" t="n">
        <v>347478</v>
      </c>
      <c r="F52" s="45" t="n">
        <v>300417</v>
      </c>
      <c r="G52" s="45" t="n">
        <v>300417</v>
      </c>
      <c r="H52" s="45" t="n">
        <v>300417</v>
      </c>
      <c r="I52" s="45" t="n">
        <v>300417</v>
      </c>
      <c r="J52" s="45"/>
      <c r="K52" s="45"/>
      <c r="L52" s="45"/>
      <c r="M52" s="45"/>
      <c r="N52" s="45"/>
      <c r="O52" s="49"/>
      <c r="P52" s="51" t="n">
        <f aca="false">I52</f>
        <v>300417</v>
      </c>
      <c r="Q52" s="49" t="n">
        <f aca="false">SUM(C52:N52)</f>
        <v>2830536</v>
      </c>
      <c r="R52" s="39" t="n">
        <f aca="false">Q52=B52</f>
        <v>1</v>
      </c>
    </row>
    <row r="53" customFormat="false" ht="11.25" hidden="false" customHeight="true" outlineLevel="0" collapsed="false">
      <c r="A53" s="50" t="s">
        <v>63</v>
      </c>
      <c r="B53" s="45" t="n">
        <f aca="false">SUM(C53:N53)</f>
        <v>4821799</v>
      </c>
      <c r="C53" s="45" t="n">
        <v>426692</v>
      </c>
      <c r="D53" s="45" t="n">
        <v>504570</v>
      </c>
      <c r="E53" s="45" t="n">
        <v>510943</v>
      </c>
      <c r="F53" s="45" t="n">
        <v>438426</v>
      </c>
      <c r="G53" s="45" t="n">
        <v>1380552</v>
      </c>
      <c r="H53" s="45" t="n">
        <v>462824</v>
      </c>
      <c r="I53" s="45" t="n">
        <v>1097792</v>
      </c>
      <c r="J53" s="45"/>
      <c r="K53" s="45"/>
      <c r="L53" s="45"/>
      <c r="M53" s="45"/>
      <c r="N53" s="53"/>
      <c r="O53" s="49"/>
      <c r="P53" s="51" t="n">
        <f aca="false">I53</f>
        <v>1097792</v>
      </c>
      <c r="Q53" s="49" t="n">
        <f aca="false">SUM(C53:N53)</f>
        <v>4821799</v>
      </c>
      <c r="R53" s="39" t="n">
        <f aca="false">Q53=B53</f>
        <v>1</v>
      </c>
    </row>
    <row r="54" customFormat="false" ht="11.25" hidden="false" customHeight="true" outlineLevel="0" collapsed="false">
      <c r="A54" s="50" t="s">
        <v>97</v>
      </c>
      <c r="B54" s="45" t="n">
        <f aca="false">SUM(C54:N54)</f>
        <v>1173900</v>
      </c>
      <c r="C54" s="45" t="n">
        <v>112700</v>
      </c>
      <c r="D54" s="45" t="n">
        <v>161400</v>
      </c>
      <c r="E54" s="45" t="n">
        <v>583800</v>
      </c>
      <c r="F54" s="45" t="n">
        <v>62800</v>
      </c>
      <c r="G54" s="45" t="n">
        <v>87100</v>
      </c>
      <c r="H54" s="45" t="n">
        <v>64100</v>
      </c>
      <c r="I54" s="45" t="n">
        <v>102000</v>
      </c>
      <c r="J54" s="45"/>
      <c r="K54" s="45"/>
      <c r="L54" s="45"/>
      <c r="M54" s="45"/>
      <c r="N54" s="53"/>
      <c r="O54" s="49"/>
      <c r="P54" s="51" t="n">
        <f aca="false">I54</f>
        <v>102000</v>
      </c>
      <c r="Q54" s="49" t="n">
        <f aca="false">SUM(C54:N54)</f>
        <v>1173900</v>
      </c>
      <c r="R54" s="39" t="n">
        <f aca="false">Q54=B54</f>
        <v>1</v>
      </c>
    </row>
    <row r="55" customFormat="false" ht="11.25" hidden="false" customHeight="true" outlineLevel="0" collapsed="false">
      <c r="A55" s="50" t="s">
        <v>98</v>
      </c>
      <c r="B55" s="45" t="n">
        <f aca="false">SUM(C55:N55)</f>
        <v>3630000</v>
      </c>
      <c r="C55" s="45"/>
      <c r="D55" s="45" t="n">
        <v>1500000</v>
      </c>
      <c r="E55" s="45"/>
      <c r="F55" s="45" t="n">
        <v>675000</v>
      </c>
      <c r="G55" s="45"/>
      <c r="H55" s="45" t="n">
        <v>655000</v>
      </c>
      <c r="I55" s="45" t="n">
        <v>800000</v>
      </c>
      <c r="J55" s="45"/>
      <c r="K55" s="45"/>
      <c r="L55" s="45"/>
      <c r="M55" s="45"/>
      <c r="N55" s="53"/>
      <c r="O55" s="49"/>
      <c r="P55" s="51" t="n">
        <f aca="false">I55</f>
        <v>800000</v>
      </c>
      <c r="Q55" s="49" t="n">
        <f aca="false">SUM(C55:N55)</f>
        <v>3630000</v>
      </c>
      <c r="R55" s="39" t="n">
        <f aca="false">Q55=B55</f>
        <v>1</v>
      </c>
    </row>
    <row r="56" customFormat="false" ht="11.25" hidden="false" customHeight="true" outlineLevel="0" collapsed="false">
      <c r="A56" s="50" t="s">
        <v>99</v>
      </c>
      <c r="B56" s="45" t="n">
        <f aca="false">SUM(C56:N56)</f>
        <v>379650</v>
      </c>
      <c r="C56" s="45" t="n">
        <v>81452</v>
      </c>
      <c r="D56" s="45" t="n">
        <v>62181</v>
      </c>
      <c r="E56" s="45" t="n">
        <v>68180</v>
      </c>
      <c r="F56" s="45" t="n">
        <v>48887</v>
      </c>
      <c r="G56" s="45" t="n">
        <v>38341</v>
      </c>
      <c r="H56" s="45" t="n">
        <v>38215</v>
      </c>
      <c r="I56" s="45" t="n">
        <v>42394</v>
      </c>
      <c r="J56" s="45"/>
      <c r="K56" s="45"/>
      <c r="L56" s="45"/>
      <c r="M56" s="45"/>
      <c r="N56" s="53"/>
      <c r="O56" s="49"/>
      <c r="P56" s="51" t="n">
        <f aca="false">I56</f>
        <v>42394</v>
      </c>
      <c r="Q56" s="49" t="n">
        <f aca="false">SUM(C56:N56)</f>
        <v>379650</v>
      </c>
      <c r="R56" s="39" t="n">
        <f aca="false">Q56=B56</f>
        <v>1</v>
      </c>
    </row>
    <row r="57" customFormat="false" ht="11.25" hidden="false" customHeight="true" outlineLevel="0" collapsed="false">
      <c r="A57" s="50" t="s">
        <v>100</v>
      </c>
      <c r="B57" s="45" t="n">
        <f aca="false">SUM(C57:N57)</f>
        <v>387620</v>
      </c>
      <c r="C57" s="45" t="n">
        <v>127240</v>
      </c>
      <c r="D57" s="45" t="n">
        <v>62494</v>
      </c>
      <c r="E57" s="45" t="n">
        <v>53199</v>
      </c>
      <c r="F57" s="45" t="n">
        <v>39119</v>
      </c>
      <c r="G57" s="45" t="n">
        <v>37717</v>
      </c>
      <c r="H57" s="45" t="n">
        <v>33680</v>
      </c>
      <c r="I57" s="45" t="n">
        <v>34171</v>
      </c>
      <c r="J57" s="45"/>
      <c r="K57" s="45"/>
      <c r="L57" s="45"/>
      <c r="M57" s="45"/>
      <c r="N57" s="53"/>
      <c r="O57" s="49"/>
      <c r="P57" s="51" t="n">
        <f aca="false">I57</f>
        <v>34171</v>
      </c>
      <c r="Q57" s="49" t="n">
        <f aca="false">SUM(C57:N57)</f>
        <v>387620</v>
      </c>
      <c r="R57" s="39" t="n">
        <f aca="false">Q57=B57</f>
        <v>1</v>
      </c>
    </row>
    <row r="58" customFormat="false" ht="11.25" hidden="false" customHeight="true" outlineLevel="0" collapsed="false">
      <c r="A58" s="50" t="s">
        <v>101</v>
      </c>
      <c r="B58" s="45" t="n">
        <f aca="false">SUM(C58:N58)</f>
        <v>8434820</v>
      </c>
      <c r="C58" s="45" t="n">
        <v>1446120</v>
      </c>
      <c r="D58" s="45" t="n">
        <v>1437780</v>
      </c>
      <c r="E58" s="45" t="n">
        <v>1238710</v>
      </c>
      <c r="F58" s="45" t="n">
        <v>968370</v>
      </c>
      <c r="G58" s="45" t="n">
        <v>1079500</v>
      </c>
      <c r="H58" s="45" t="n">
        <v>1168030</v>
      </c>
      <c r="I58" s="45" t="n">
        <v>1096310</v>
      </c>
      <c r="J58" s="45"/>
      <c r="K58" s="45"/>
      <c r="L58" s="53"/>
      <c r="M58" s="53"/>
      <c r="N58" s="53"/>
      <c r="O58" s="49"/>
      <c r="P58" s="51" t="n">
        <f aca="false">I58</f>
        <v>1096310</v>
      </c>
      <c r="Q58" s="49" t="n">
        <f aca="false">SUM(C58:N58)</f>
        <v>8434820</v>
      </c>
      <c r="R58" s="39" t="n">
        <f aca="false">Q58=B58</f>
        <v>1</v>
      </c>
    </row>
    <row r="59" customFormat="false" ht="11.25" hidden="false" customHeight="true" outlineLevel="0" collapsed="false">
      <c r="A59" s="50" t="s">
        <v>102</v>
      </c>
      <c r="B59" s="45" t="n">
        <f aca="false">SUM(C59:N59)</f>
        <v>2107910</v>
      </c>
      <c r="C59" s="45" t="n">
        <v>301130</v>
      </c>
      <c r="D59" s="45" t="n">
        <v>301130</v>
      </c>
      <c r="E59" s="45" t="n">
        <v>301130</v>
      </c>
      <c r="F59" s="45" t="n">
        <v>301130</v>
      </c>
      <c r="G59" s="45" t="n">
        <v>301130</v>
      </c>
      <c r="H59" s="45" t="n">
        <v>301130</v>
      </c>
      <c r="I59" s="45" t="n">
        <v>301130</v>
      </c>
      <c r="J59" s="45"/>
      <c r="K59" s="45"/>
      <c r="L59" s="45"/>
      <c r="M59" s="45"/>
      <c r="N59" s="45"/>
      <c r="O59" s="49"/>
      <c r="P59" s="51" t="n">
        <f aca="false">I59</f>
        <v>301130</v>
      </c>
      <c r="Q59" s="49" t="n">
        <f aca="false">SUM(C59:N59)</f>
        <v>2107910</v>
      </c>
      <c r="R59" s="39" t="n">
        <f aca="false">Q59=B59</f>
        <v>1</v>
      </c>
    </row>
    <row r="60" customFormat="false" ht="11.25" hidden="false" customHeight="true" outlineLevel="0" collapsed="false">
      <c r="A60" s="50" t="s">
        <v>64</v>
      </c>
      <c r="B60" s="45" t="n">
        <f aca="false">SUM(C60:N60)</f>
        <v>19600000</v>
      </c>
      <c r="C60" s="45" t="n">
        <v>2800000</v>
      </c>
      <c r="D60" s="45" t="n">
        <v>2800000</v>
      </c>
      <c r="E60" s="45" t="n">
        <v>2800000</v>
      </c>
      <c r="F60" s="45" t="n">
        <v>2800000</v>
      </c>
      <c r="G60" s="45" t="n">
        <v>2800000</v>
      </c>
      <c r="H60" s="45" t="n">
        <v>2800000</v>
      </c>
      <c r="I60" s="45" t="n">
        <v>2800000</v>
      </c>
      <c r="J60" s="45"/>
      <c r="K60" s="45"/>
      <c r="L60" s="45"/>
      <c r="M60" s="45"/>
      <c r="N60" s="45"/>
      <c r="O60" s="49"/>
      <c r="P60" s="51" t="n">
        <f aca="false">I60</f>
        <v>2800000</v>
      </c>
      <c r="Q60" s="49" t="n">
        <f aca="false">SUM(C60:N60)</f>
        <v>19600000</v>
      </c>
      <c r="R60" s="39" t="n">
        <f aca="false">Q60=B60</f>
        <v>1</v>
      </c>
    </row>
    <row r="61" customFormat="false" ht="11.25" hidden="false" customHeight="true" outlineLevel="0" collapsed="false">
      <c r="A61" s="50" t="s">
        <v>103</v>
      </c>
      <c r="B61" s="45" t="n">
        <f aca="false">SUM(C61:N61)</f>
        <v>2243980</v>
      </c>
      <c r="C61" s="45" t="n">
        <v>173666</v>
      </c>
      <c r="D61" s="45" t="n">
        <v>442526</v>
      </c>
      <c r="E61" s="45" t="n">
        <v>308096</v>
      </c>
      <c r="F61" s="45" t="n">
        <v>308833</v>
      </c>
      <c r="G61" s="45" t="n">
        <v>308833</v>
      </c>
      <c r="H61" s="45" t="n">
        <v>351013</v>
      </c>
      <c r="I61" s="45" t="n">
        <v>351013</v>
      </c>
      <c r="J61" s="45"/>
      <c r="K61" s="45"/>
      <c r="L61" s="45"/>
      <c r="M61" s="45"/>
      <c r="N61" s="45"/>
      <c r="O61" s="49"/>
      <c r="P61" s="51" t="n">
        <f aca="false">I61</f>
        <v>351013</v>
      </c>
      <c r="Q61" s="49" t="n">
        <f aca="false">SUM(C61:N61)</f>
        <v>2243980</v>
      </c>
      <c r="R61" s="39" t="n">
        <f aca="false">Q61=B61</f>
        <v>1</v>
      </c>
    </row>
    <row r="62" customFormat="false" ht="11.25" hidden="false" customHeight="true" outlineLevel="0" collapsed="false">
      <c r="A62" s="50" t="s">
        <v>104</v>
      </c>
      <c r="B62" s="45" t="n">
        <f aca="false">SUM(C62:N62)</f>
        <v>20000</v>
      </c>
      <c r="C62" s="45" t="n">
        <v>20000</v>
      </c>
      <c r="D62" s="45"/>
      <c r="E62" s="45"/>
      <c r="F62" s="45"/>
      <c r="G62" s="45"/>
      <c r="H62" s="45"/>
      <c r="I62" s="45" t="n">
        <v>0</v>
      </c>
      <c r="J62" s="45"/>
      <c r="K62" s="45"/>
      <c r="L62" s="45"/>
      <c r="M62" s="45"/>
      <c r="N62" s="53"/>
      <c r="O62" s="49"/>
      <c r="P62" s="51" t="n">
        <f aca="false">I62</f>
        <v>0</v>
      </c>
      <c r="Q62" s="49" t="n">
        <f aca="false">SUM(C62:N62)</f>
        <v>20000</v>
      </c>
      <c r="R62" s="39" t="n">
        <f aca="false">Q62=B62</f>
        <v>1</v>
      </c>
    </row>
    <row r="63" customFormat="false" ht="11.25" hidden="false" customHeight="true" outlineLevel="0" collapsed="false">
      <c r="A63" s="50" t="s">
        <v>65</v>
      </c>
      <c r="B63" s="45" t="n">
        <f aca="false">SUM(C63:N63)</f>
        <v>4599538</v>
      </c>
      <c r="C63" s="59" t="n">
        <f aca="false">10239992-C67</f>
        <v>0</v>
      </c>
      <c r="D63" s="59" t="n">
        <f aca="false">14303218-D67</f>
        <v>6300</v>
      </c>
      <c r="E63" s="45" t="n">
        <v>3200</v>
      </c>
      <c r="F63" s="45"/>
      <c r="G63" s="45"/>
      <c r="H63" s="45" t="n">
        <v>3091</v>
      </c>
      <c r="I63" s="45" t="n">
        <v>4586947</v>
      </c>
      <c r="J63" s="45"/>
      <c r="K63" s="45"/>
      <c r="L63" s="45"/>
      <c r="M63" s="45"/>
      <c r="N63" s="53"/>
      <c r="O63" s="49"/>
      <c r="P63" s="51" t="n">
        <f aca="false">I63</f>
        <v>4586947</v>
      </c>
      <c r="Q63" s="49" t="n">
        <f aca="false">SUM(C63:N63)</f>
        <v>4599538</v>
      </c>
      <c r="R63" s="39" t="n">
        <f aca="false">Q63=B63</f>
        <v>1</v>
      </c>
    </row>
    <row r="64" customFormat="false" ht="11.25" hidden="false" customHeight="true" outlineLevel="0" collapsed="false">
      <c r="A64" s="50" t="s">
        <v>105</v>
      </c>
      <c r="B64" s="45" t="n">
        <f aca="false">SUM(C64:N64)</f>
        <v>139933</v>
      </c>
      <c r="C64" s="45" t="n">
        <v>30191</v>
      </c>
      <c r="D64" s="45"/>
      <c r="E64" s="45" t="n">
        <v>9973</v>
      </c>
      <c r="F64" s="45" t="n">
        <v>42979</v>
      </c>
      <c r="G64" s="45" t="n">
        <v>14372</v>
      </c>
      <c r="H64" s="45"/>
      <c r="I64" s="45" t="n">
        <v>42418</v>
      </c>
      <c r="J64" s="45"/>
      <c r="K64" s="45"/>
      <c r="L64" s="45"/>
      <c r="M64" s="45"/>
      <c r="N64" s="53"/>
      <c r="O64" s="49"/>
      <c r="P64" s="51" t="n">
        <f aca="false">I64</f>
        <v>42418</v>
      </c>
      <c r="Q64" s="49" t="n">
        <f aca="false">SUM(C64:N64)</f>
        <v>139933</v>
      </c>
      <c r="R64" s="39" t="n">
        <f aca="false">Q64=B64</f>
        <v>1</v>
      </c>
    </row>
    <row r="65" customFormat="false" ht="11.25" hidden="false" customHeight="true" outlineLevel="0" collapsed="false">
      <c r="A65" s="50" t="s">
        <v>66</v>
      </c>
      <c r="B65" s="45" t="n">
        <f aca="false">SUM(C65:N65)</f>
        <v>30143951</v>
      </c>
      <c r="C65" s="45" t="n">
        <v>4634065</v>
      </c>
      <c r="D65" s="45" t="n">
        <v>262546</v>
      </c>
      <c r="E65" s="45" t="n">
        <v>9928577</v>
      </c>
      <c r="F65" s="45" t="n">
        <v>330046</v>
      </c>
      <c r="G65" s="45" t="n">
        <v>235000</v>
      </c>
      <c r="H65" s="45" t="n">
        <v>14686017</v>
      </c>
      <c r="I65" s="45" t="n">
        <v>67700</v>
      </c>
      <c r="J65" s="45"/>
      <c r="K65" s="45"/>
      <c r="L65" s="45"/>
      <c r="M65" s="45"/>
      <c r="N65" s="53"/>
      <c r="O65" s="49"/>
      <c r="P65" s="51" t="n">
        <f aca="false">I65</f>
        <v>67700</v>
      </c>
      <c r="Q65" s="49" t="n">
        <f aca="false">SUM(C65:N65)</f>
        <v>30143951</v>
      </c>
      <c r="R65" s="39" t="n">
        <f aca="false">Q65=B65</f>
        <v>1</v>
      </c>
    </row>
    <row r="66" customFormat="false" ht="11.25" hidden="false" customHeight="true" outlineLevel="0" collapsed="false">
      <c r="A66" s="50" t="s">
        <v>106</v>
      </c>
      <c r="B66" s="45" t="n">
        <f aca="false">SUM(C66:N66)</f>
        <v>0</v>
      </c>
      <c r="C66" s="45"/>
      <c r="D66" s="45"/>
      <c r="E66" s="45"/>
      <c r="F66" s="45"/>
      <c r="G66" s="45"/>
      <c r="H66" s="45"/>
      <c r="I66" s="45"/>
      <c r="J66" s="45"/>
      <c r="K66" s="45"/>
      <c r="L66" s="53"/>
      <c r="M66" s="45"/>
      <c r="N66" s="53"/>
      <c r="O66" s="49"/>
      <c r="P66" s="51" t="n">
        <f aca="false">I66</f>
        <v>0</v>
      </c>
      <c r="Q66" s="49" t="n">
        <f aca="false">SUM(C66:N66)</f>
        <v>0</v>
      </c>
      <c r="R66" s="39" t="n">
        <f aca="false">Q66=B66</f>
        <v>1</v>
      </c>
    </row>
    <row r="67" customFormat="false" ht="11.25" hidden="false" customHeight="true" outlineLevel="0" collapsed="false">
      <c r="A67" s="50" t="s">
        <v>107</v>
      </c>
      <c r="B67" s="45" t="n">
        <f aca="false">SUM(C67:N67)</f>
        <v>61355936</v>
      </c>
      <c r="C67" s="45" t="n">
        <v>10239992</v>
      </c>
      <c r="D67" s="45" t="n">
        <v>14296918</v>
      </c>
      <c r="E67" s="45"/>
      <c r="F67" s="45" t="n">
        <v>14454389</v>
      </c>
      <c r="G67" s="45" t="n">
        <v>12071462</v>
      </c>
      <c r="H67" s="45" t="n">
        <v>10293175</v>
      </c>
      <c r="I67" s="45"/>
      <c r="J67" s="45"/>
      <c r="K67" s="45"/>
      <c r="L67" s="45"/>
      <c r="M67" s="45"/>
      <c r="N67" s="53"/>
      <c r="O67" s="49"/>
      <c r="P67" s="51" t="n">
        <f aca="false">I67</f>
        <v>0</v>
      </c>
      <c r="Q67" s="49" t="n">
        <f aca="false">SUM(C67:N67)</f>
        <v>61355936</v>
      </c>
      <c r="R67" s="39" t="n">
        <f aca="false">Q67=B67</f>
        <v>1</v>
      </c>
      <c r="S67" s="60" t="s">
        <v>108</v>
      </c>
    </row>
    <row r="68" customFormat="false" ht="11.25" hidden="false" customHeight="true" outlineLevel="0" collapsed="false">
      <c r="A68" s="50" t="s">
        <v>109</v>
      </c>
      <c r="B68" s="45" t="n">
        <f aca="false">SUM(C68:N68)</f>
        <v>0</v>
      </c>
      <c r="C68" s="45"/>
      <c r="D68" s="45"/>
      <c r="F68" s="45"/>
      <c r="G68" s="45"/>
      <c r="H68" s="45"/>
      <c r="I68" s="45"/>
      <c r="J68" s="45"/>
      <c r="K68" s="45"/>
      <c r="L68" s="53"/>
      <c r="M68" s="53"/>
      <c r="N68" s="53"/>
      <c r="O68" s="49"/>
      <c r="P68" s="51" t="n">
        <f aca="false">I68</f>
        <v>0</v>
      </c>
      <c r="Q68" s="49" t="n">
        <f aca="false">SUM(C68:N68)</f>
        <v>0</v>
      </c>
      <c r="R68" s="39" t="n">
        <f aca="false">Q68=B68</f>
        <v>1</v>
      </c>
    </row>
    <row r="69" customFormat="false" ht="11.25" hidden="false" customHeight="true" outlineLevel="0" collapsed="false">
      <c r="A69" s="50" t="s">
        <v>110</v>
      </c>
      <c r="B69" s="45" t="n">
        <f aca="false">SUM(C69:N69)</f>
        <v>0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9"/>
      <c r="P69" s="51" t="n">
        <f aca="false">I69</f>
        <v>0</v>
      </c>
      <c r="Q69" s="49" t="n">
        <f aca="false">SUM(C69:N69)</f>
        <v>0</v>
      </c>
      <c r="R69" s="39" t="n">
        <f aca="false">Q69=B69</f>
        <v>1</v>
      </c>
    </row>
    <row r="70" customFormat="false" ht="13.5" hidden="false" customHeight="true" outlineLevel="0" collapsed="false">
      <c r="A70" s="44" t="s">
        <v>111</v>
      </c>
      <c r="B70" s="45" t="n">
        <f aca="false">SUM(C70:N70)</f>
        <v>70627136</v>
      </c>
      <c r="C70" s="45" t="n">
        <f aca="false">C47-C48</f>
        <v>4649415</v>
      </c>
      <c r="D70" s="45" t="n">
        <f aca="false">D47-D48</f>
        <v>2948794</v>
      </c>
      <c r="E70" s="45" t="n">
        <f aca="false">E47-E48</f>
        <v>15290295</v>
      </c>
      <c r="F70" s="45" t="n">
        <f aca="false">F47-F48</f>
        <v>17164319</v>
      </c>
      <c r="G70" s="45" t="n">
        <f aca="false">G47-G48</f>
        <v>19033512</v>
      </c>
      <c r="H70" s="45" t="n">
        <f aca="false">H47-H48</f>
        <v>6805133</v>
      </c>
      <c r="I70" s="45" t="n">
        <f aca="false">I47-I48</f>
        <v>4735668</v>
      </c>
      <c r="J70" s="45" t="n">
        <f aca="false">J47-J48</f>
        <v>0</v>
      </c>
      <c r="K70" s="45" t="n">
        <f aca="false">K47-K48</f>
        <v>0</v>
      </c>
      <c r="L70" s="45" t="n">
        <f aca="false">L47-L48</f>
        <v>0</v>
      </c>
      <c r="M70" s="45" t="n">
        <f aca="false">M47-M48</f>
        <v>0</v>
      </c>
      <c r="N70" s="45" t="n">
        <f aca="false">N47-N48</f>
        <v>0</v>
      </c>
      <c r="O70" s="49"/>
      <c r="P70" s="51" t="n">
        <f aca="false">I70</f>
        <v>4735668</v>
      </c>
      <c r="Q70" s="49" t="n">
        <f aca="false">SUM(C70:N70)</f>
        <v>70627136</v>
      </c>
      <c r="R70" s="39" t="n">
        <f aca="false">Q70=B70</f>
        <v>1</v>
      </c>
    </row>
    <row r="71" customFormat="false" ht="13.5" hidden="false" customHeight="true" outlineLevel="0" collapsed="false">
      <c r="A71" s="44" t="s">
        <v>112</v>
      </c>
      <c r="B71" s="45" t="n">
        <f aca="false">SUM(C71:N71)</f>
        <v>124461138</v>
      </c>
      <c r="C71" s="45" t="n">
        <f aca="false">SUM(C72:C76)</f>
        <v>10552447</v>
      </c>
      <c r="D71" s="45" t="n">
        <f aca="false">SUM(D72:D76)</f>
        <v>10217313</v>
      </c>
      <c r="E71" s="45" t="n">
        <f aca="false">SUM(E72:E76)</f>
        <v>51656224</v>
      </c>
      <c r="F71" s="45" t="n">
        <f aca="false">SUM(F72:F76)</f>
        <v>19601278</v>
      </c>
      <c r="G71" s="45" t="n">
        <f aca="false">SUM(G72:G76)</f>
        <v>9498045</v>
      </c>
      <c r="H71" s="45" t="n">
        <f aca="false">SUM(H72:H76)</f>
        <v>8838039</v>
      </c>
      <c r="I71" s="45" t="n">
        <f aca="false">SUM(I72:I76)</f>
        <v>14097792</v>
      </c>
      <c r="J71" s="45" t="n">
        <f aca="false">SUM(J72:J76)</f>
        <v>0</v>
      </c>
      <c r="K71" s="45" t="n">
        <f aca="false">SUM(K72:K76)</f>
        <v>0</v>
      </c>
      <c r="L71" s="45" t="n">
        <f aca="false">SUM(L72:L76)</f>
        <v>0</v>
      </c>
      <c r="M71" s="45" t="n">
        <f aca="false">SUM(M72:M76)</f>
        <v>0</v>
      </c>
      <c r="N71" s="45" t="n">
        <f aca="false">SUM(N72:N76)</f>
        <v>0</v>
      </c>
      <c r="O71" s="49"/>
      <c r="P71" s="51" t="n">
        <f aca="false">I71</f>
        <v>14097792</v>
      </c>
      <c r="Q71" s="49" t="n">
        <f aca="false">SUM(C71:N71)</f>
        <v>124461138</v>
      </c>
      <c r="R71" s="39" t="n">
        <f aca="false">Q71=B71</f>
        <v>1</v>
      </c>
    </row>
    <row r="72" customFormat="false" ht="11.25" hidden="false" customHeight="true" outlineLevel="0" collapsed="false">
      <c r="A72" s="50" t="s">
        <v>113</v>
      </c>
      <c r="B72" s="45" t="n">
        <f aca="false">SUM(C72:N72)</f>
        <v>72522</v>
      </c>
      <c r="C72" s="45" t="n">
        <v>603</v>
      </c>
      <c r="D72" s="45"/>
      <c r="E72" s="45" t="n">
        <v>15077</v>
      </c>
      <c r="F72" s="45" t="n">
        <v>1147</v>
      </c>
      <c r="G72" s="45" t="n">
        <v>798</v>
      </c>
      <c r="H72" s="45" t="n">
        <v>54247</v>
      </c>
      <c r="I72" s="45" t="n">
        <v>650</v>
      </c>
      <c r="J72" s="45"/>
      <c r="K72" s="45"/>
      <c r="L72" s="45"/>
      <c r="M72" s="45"/>
      <c r="N72" s="45"/>
      <c r="O72" s="49"/>
      <c r="P72" s="51" t="n">
        <f aca="false">I72</f>
        <v>650</v>
      </c>
      <c r="Q72" s="49" t="n">
        <f aca="false">SUM(C72:N72)</f>
        <v>72522</v>
      </c>
      <c r="R72" s="39" t="n">
        <f aca="false">Q72=B72</f>
        <v>1</v>
      </c>
    </row>
    <row r="73" customFormat="false" ht="11.25" hidden="false" customHeight="true" outlineLevel="0" collapsed="false">
      <c r="A73" s="50" t="s">
        <v>114</v>
      </c>
      <c r="B73" s="45" t="n">
        <f aca="false">SUM(C73:N73)</f>
        <v>0</v>
      </c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9"/>
      <c r="P73" s="51" t="n">
        <f aca="false">I73</f>
        <v>0</v>
      </c>
      <c r="Q73" s="49" t="n">
        <f aca="false">SUM(C73:N73)</f>
        <v>0</v>
      </c>
      <c r="R73" s="39" t="n">
        <f aca="false">Q73=B73</f>
        <v>1</v>
      </c>
    </row>
    <row r="74" customFormat="false" ht="13.5" hidden="false" customHeight="true" outlineLevel="0" collapsed="false">
      <c r="A74" s="61" t="s">
        <v>115</v>
      </c>
      <c r="B74" s="45" t="n">
        <f aca="false">SUM(C74:N74)</f>
        <v>30000000</v>
      </c>
      <c r="C74" s="45"/>
      <c r="D74" s="45"/>
      <c r="E74" s="45" t="n">
        <v>10000000</v>
      </c>
      <c r="F74" s="45" t="n">
        <v>10000000</v>
      </c>
      <c r="H74" s="45"/>
      <c r="I74" s="45" t="n">
        <v>10000000</v>
      </c>
      <c r="J74" s="45"/>
      <c r="K74" s="45"/>
      <c r="L74" s="45"/>
      <c r="M74" s="45"/>
      <c r="N74" s="45"/>
      <c r="O74" s="49"/>
      <c r="P74" s="51" t="n">
        <f aca="false">I74</f>
        <v>10000000</v>
      </c>
      <c r="Q74" s="49" t="n">
        <f aca="false">SUM(C74:N74)</f>
        <v>30000000</v>
      </c>
      <c r="R74" s="39" t="n">
        <f aca="false">Q74=B74</f>
        <v>1</v>
      </c>
    </row>
    <row r="75" customFormat="false" ht="11.25" hidden="false" customHeight="true" outlineLevel="0" collapsed="false">
      <c r="A75" s="62" t="s">
        <v>116</v>
      </c>
      <c r="B75" s="45" t="n">
        <f aca="false">SUM(C75:N75)</f>
        <v>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9"/>
      <c r="P75" s="51" t="n">
        <f aca="false">I75</f>
        <v>0</v>
      </c>
      <c r="Q75" s="49" t="n">
        <f aca="false">SUM(C75:N75)</f>
        <v>0</v>
      </c>
      <c r="R75" s="39" t="n">
        <f aca="false">Q75=B75</f>
        <v>1</v>
      </c>
    </row>
    <row r="76" customFormat="false" ht="11.25" hidden="false" customHeight="true" outlineLevel="0" collapsed="false">
      <c r="A76" s="50" t="s">
        <v>117</v>
      </c>
      <c r="B76" s="45" t="n">
        <f aca="false">SUM(C76:N76)</f>
        <v>94388616</v>
      </c>
      <c r="C76" s="45" t="n">
        <v>10551844</v>
      </c>
      <c r="D76" s="45" t="n">
        <v>10217313</v>
      </c>
      <c r="E76" s="45" t="n">
        <v>41641147</v>
      </c>
      <c r="F76" s="45" t="n">
        <v>9600131</v>
      </c>
      <c r="G76" s="45" t="n">
        <v>9497247</v>
      </c>
      <c r="H76" s="45" t="n">
        <v>8783792</v>
      </c>
      <c r="I76" s="45" t="n">
        <v>4097142</v>
      </c>
      <c r="J76" s="45"/>
      <c r="K76" s="45"/>
      <c r="L76" s="45"/>
      <c r="M76" s="45"/>
      <c r="N76" s="45"/>
      <c r="O76" s="49"/>
      <c r="P76" s="51" t="n">
        <f aca="false">I76</f>
        <v>4097142</v>
      </c>
      <c r="Q76" s="49" t="n">
        <f aca="false">SUM(C76:N76)</f>
        <v>94388616</v>
      </c>
      <c r="R76" s="39" t="n">
        <f aca="false">Q76=B76</f>
        <v>1</v>
      </c>
    </row>
    <row r="77" customFormat="false" ht="14.25" hidden="false" customHeight="true" outlineLevel="0" collapsed="false">
      <c r="A77" s="44" t="s">
        <v>118</v>
      </c>
      <c r="B77" s="45" t="n">
        <f aca="false">SUM(C77:N77)</f>
        <v>754437158</v>
      </c>
      <c r="C77" s="45" t="n">
        <f aca="false">SUM(C78:C82)</f>
        <v>98935577</v>
      </c>
      <c r="D77" s="45" t="n">
        <f aca="false">SUM(D78:D82)</f>
        <v>86428798</v>
      </c>
      <c r="E77" s="45" t="n">
        <f aca="false">SUM(E78:E82)</f>
        <v>130970531</v>
      </c>
      <c r="F77" s="45" t="n">
        <f aca="false">SUM(F78:F82)</f>
        <v>97721744</v>
      </c>
      <c r="G77" s="45" t="n">
        <f aca="false">SUM(G78:G82)</f>
        <v>99953188</v>
      </c>
      <c r="H77" s="45" t="n">
        <f aca="false">SUM(H78:H82)</f>
        <v>139782479</v>
      </c>
      <c r="I77" s="45" t="n">
        <f aca="false">SUM(I78:I79)</f>
        <v>100644841</v>
      </c>
      <c r="J77" s="45" t="n">
        <f aca="false">SUM(J78:J82)</f>
        <v>0</v>
      </c>
      <c r="K77" s="45" t="n">
        <f aca="false">SUM(K78:K82)</f>
        <v>0</v>
      </c>
      <c r="L77" s="45" t="n">
        <f aca="false">SUM(L78:L82)</f>
        <v>0</v>
      </c>
      <c r="M77" s="45" t="n">
        <f aca="false">SUM(M78:M82)</f>
        <v>0</v>
      </c>
      <c r="N77" s="45" t="n">
        <f aca="false">SUM(N78:N82)</f>
        <v>0</v>
      </c>
      <c r="O77" s="49"/>
      <c r="P77" s="51" t="n">
        <f aca="false">I77</f>
        <v>100644841</v>
      </c>
      <c r="Q77" s="49" t="n">
        <f aca="false">SUM(C77:N77)</f>
        <v>754437158</v>
      </c>
      <c r="R77" s="39" t="n">
        <f aca="false">Q77=B77</f>
        <v>1</v>
      </c>
    </row>
    <row r="78" customFormat="false" ht="11.25" hidden="false" customHeight="true" outlineLevel="0" collapsed="false">
      <c r="A78" s="50" t="s">
        <v>119</v>
      </c>
      <c r="B78" s="45" t="n">
        <f aca="false">SUM(C78:N78)</f>
        <v>754437158</v>
      </c>
      <c r="C78" s="45" t="n">
        <v>98935577</v>
      </c>
      <c r="D78" s="45" t="n">
        <v>86428798</v>
      </c>
      <c r="E78" s="45" t="n">
        <v>130970531</v>
      </c>
      <c r="F78" s="45" t="n">
        <v>97721744</v>
      </c>
      <c r="G78" s="45" t="n">
        <v>99953188</v>
      </c>
      <c r="H78" s="45" t="n">
        <v>139782479</v>
      </c>
      <c r="I78" s="45" t="n">
        <v>100644841</v>
      </c>
      <c r="J78" s="45"/>
      <c r="K78" s="45"/>
      <c r="L78" s="45"/>
      <c r="M78" s="45"/>
      <c r="N78" s="45"/>
      <c r="O78" s="49"/>
      <c r="P78" s="51" t="n">
        <f aca="false">I78</f>
        <v>100644841</v>
      </c>
      <c r="Q78" s="49" t="n">
        <f aca="false">SUM(C78:N78)</f>
        <v>754437158</v>
      </c>
      <c r="R78" s="39" t="n">
        <f aca="false">Q78=B78</f>
        <v>1</v>
      </c>
    </row>
    <row r="79" customFormat="false" ht="11.25" hidden="false" customHeight="true" outlineLevel="0" collapsed="false">
      <c r="A79" s="50" t="s">
        <v>120</v>
      </c>
      <c r="B79" s="45" t="n">
        <f aca="false">SUM(C79:N79)</f>
        <v>0</v>
      </c>
      <c r="C79" s="45"/>
      <c r="D79" s="45"/>
      <c r="E79" s="45"/>
      <c r="F79" s="45"/>
      <c r="G79" s="45"/>
      <c r="H79" s="45"/>
      <c r="I79" s="45" t="n">
        <v>0</v>
      </c>
      <c r="J79" s="45"/>
      <c r="K79" s="45"/>
      <c r="L79" s="45"/>
      <c r="M79" s="45"/>
      <c r="N79" s="45"/>
      <c r="O79" s="49"/>
      <c r="P79" s="51" t="n">
        <f aca="false">I79</f>
        <v>0</v>
      </c>
      <c r="Q79" s="49" t="n">
        <f aca="false">SUM(C79:N79)</f>
        <v>0</v>
      </c>
      <c r="R79" s="39" t="n">
        <f aca="false">Q79=B79</f>
        <v>1</v>
      </c>
    </row>
    <row r="80" customFormat="false" ht="11.25" hidden="false" customHeight="true" outlineLevel="0" collapsed="false">
      <c r="A80" s="50" t="s">
        <v>121</v>
      </c>
      <c r="B80" s="45" t="n">
        <f aca="false">SUM(C80:N80)</f>
        <v>-81811381</v>
      </c>
      <c r="C80" s="45"/>
      <c r="D80" s="45"/>
      <c r="F80" s="45"/>
      <c r="H80" s="45"/>
      <c r="I80" s="45" t="n">
        <f aca="false">I70+I71-I77</f>
        <v>-81811381</v>
      </c>
      <c r="J80" s="45"/>
      <c r="K80" s="45"/>
      <c r="L80" s="45"/>
      <c r="M80" s="45"/>
      <c r="N80" s="45"/>
      <c r="O80" s="49"/>
      <c r="P80" s="51" t="n">
        <f aca="false">I80</f>
        <v>-81811381</v>
      </c>
      <c r="Q80" s="49" t="n">
        <f aca="false">SUM(C80:N80)</f>
        <v>-81811381</v>
      </c>
      <c r="R80" s="39" t="n">
        <f aca="false">Q80=B80</f>
        <v>1</v>
      </c>
    </row>
    <row r="81" customFormat="false" ht="11.25" hidden="false" customHeight="true" outlineLevel="0" collapsed="false">
      <c r="A81" s="50" t="s">
        <v>122</v>
      </c>
      <c r="B81" s="45" t="n">
        <f aca="false">SUM(C81:N81)</f>
        <v>0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9"/>
      <c r="P81" s="51" t="n">
        <f aca="false">I81</f>
        <v>0</v>
      </c>
      <c r="Q81" s="49" t="n">
        <f aca="false">SUM(C81:N81)</f>
        <v>0</v>
      </c>
      <c r="R81" s="39" t="n">
        <f aca="false">Q81=B81</f>
        <v>1</v>
      </c>
    </row>
    <row r="82" customFormat="false" ht="11.25" hidden="false" customHeight="true" outlineLevel="0" collapsed="false">
      <c r="A82" s="50" t="s">
        <v>123</v>
      </c>
      <c r="B82" s="45" t="n">
        <f aca="false">SUM(C82:N82)</f>
        <v>0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9"/>
      <c r="P82" s="51" t="n">
        <f aca="false">I82</f>
        <v>0</v>
      </c>
      <c r="Q82" s="49" t="n">
        <f aca="false">SUM(C82:N82)</f>
        <v>0</v>
      </c>
      <c r="R82" s="39" t="n">
        <f aca="false">Q82=B82</f>
        <v>1</v>
      </c>
    </row>
    <row r="83" customFormat="false" ht="13.5" hidden="false" customHeight="true" outlineLevel="0" collapsed="false">
      <c r="A83" s="44" t="s">
        <v>124</v>
      </c>
      <c r="B83" s="45" t="n">
        <f aca="false">SUM(C83:N83)</f>
        <v>-559348884</v>
      </c>
      <c r="C83" s="45" t="n">
        <f aca="false">C70+C71-C77</f>
        <v>-83733715</v>
      </c>
      <c r="D83" s="45" t="n">
        <f aca="false">D70+D71-D77</f>
        <v>-73262691</v>
      </c>
      <c r="E83" s="45" t="n">
        <f aca="false">E70+E71-E77</f>
        <v>-64024012</v>
      </c>
      <c r="F83" s="45" t="n">
        <f aca="false">F70+F71-F77</f>
        <v>-60956147</v>
      </c>
      <c r="G83" s="45" t="n">
        <f aca="false">G70+G71-G77</f>
        <v>-71421631</v>
      </c>
      <c r="H83" s="45" t="n">
        <f aca="false">H70+H71-H77</f>
        <v>-124139307</v>
      </c>
      <c r="I83" s="45" t="n">
        <f aca="false">I70+I71-I77</f>
        <v>-81811381</v>
      </c>
      <c r="J83" s="45" t="n">
        <f aca="false">J70+J71-J77</f>
        <v>0</v>
      </c>
      <c r="K83" s="45" t="n">
        <f aca="false">K70+K71-K77</f>
        <v>0</v>
      </c>
      <c r="L83" s="45" t="n">
        <f aca="false">L70+L71-L77</f>
        <v>0</v>
      </c>
      <c r="M83" s="45" t="n">
        <f aca="false">M70+M71-M77</f>
        <v>0</v>
      </c>
      <c r="N83" s="45" t="n">
        <f aca="false">N70+N71-N77</f>
        <v>0</v>
      </c>
      <c r="O83" s="49"/>
      <c r="P83" s="51" t="n">
        <f aca="false">I83</f>
        <v>-81811381</v>
      </c>
      <c r="Q83" s="49" t="n">
        <f aca="false">SUM(C83:N83)</f>
        <v>-559348884</v>
      </c>
      <c r="R83" s="39" t="n">
        <f aca="false">Q83=B83</f>
        <v>1</v>
      </c>
    </row>
    <row r="84" customFormat="false" ht="13.5" hidden="false" customHeight="true" outlineLevel="0" collapsed="false">
      <c r="A84" s="44" t="s">
        <v>125</v>
      </c>
      <c r="B84" s="45" t="n">
        <f aca="false">SUM(C84:N84)</f>
        <v>0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9"/>
      <c r="P84" s="51" t="n">
        <f aca="false">I84</f>
        <v>0</v>
      </c>
      <c r="Q84" s="49" t="n">
        <f aca="false">SUM(C84:N84)</f>
        <v>0</v>
      </c>
      <c r="R84" s="39" t="n">
        <f aca="false">Q84=B84</f>
        <v>1</v>
      </c>
    </row>
    <row r="85" customFormat="false" ht="13.5" hidden="false" customHeight="true" outlineLevel="0" collapsed="false">
      <c r="A85" s="44" t="s">
        <v>126</v>
      </c>
      <c r="B85" s="63" t="n">
        <f aca="false">SUM(C85:N85)</f>
        <v>-559348884</v>
      </c>
      <c r="C85" s="64" t="n">
        <f aca="false">C83-C84</f>
        <v>-83733715</v>
      </c>
      <c r="D85" s="63" t="n">
        <f aca="false">D83-D84</f>
        <v>-73262691</v>
      </c>
      <c r="E85" s="63" t="n">
        <f aca="false">E83-E84</f>
        <v>-64024012</v>
      </c>
      <c r="F85" s="64" t="n">
        <f aca="false">F83-F84</f>
        <v>-60956147</v>
      </c>
      <c r="G85" s="63" t="n">
        <f aca="false">G83-G84</f>
        <v>-71421631</v>
      </c>
      <c r="H85" s="65" t="n">
        <f aca="false">H83-H84</f>
        <v>-124139307</v>
      </c>
      <c r="I85" s="64" t="n">
        <f aca="false">I83-I84</f>
        <v>-81811381</v>
      </c>
      <c r="J85" s="65" t="n">
        <f aca="false">J83-J84</f>
        <v>0</v>
      </c>
      <c r="K85" s="65" t="n">
        <f aca="false">K83-K84</f>
        <v>0</v>
      </c>
      <c r="L85" s="65" t="n">
        <f aca="false">L83-L84</f>
        <v>0</v>
      </c>
      <c r="M85" s="65" t="n">
        <f aca="false">M83-M84</f>
        <v>0</v>
      </c>
      <c r="N85" s="65" t="n">
        <f aca="false">N83-N84</f>
        <v>0</v>
      </c>
      <c r="O85" s="49"/>
      <c r="P85" s="51" t="n">
        <f aca="false">I85</f>
        <v>-81811381</v>
      </c>
      <c r="Q85" s="49" t="n">
        <f aca="false">SUM(C85:N85)</f>
        <v>-559348884</v>
      </c>
      <c r="R85" s="39" t="n">
        <f aca="false">Q85=B85</f>
        <v>1</v>
      </c>
    </row>
    <row r="86" customFormat="false" ht="11.25" hidden="false" customHeight="true" outlineLevel="0" collapsed="false"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customFormat="false" ht="11.25" hidden="false" customHeight="true" outlineLevel="0" collapsed="false"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</row>
    <row r="88" customFormat="false" ht="11.25" hidden="false" customHeight="true" outlineLevel="0" collapsed="false">
      <c r="H88" s="51"/>
      <c r="I88" s="51"/>
    </row>
    <row r="89" customFormat="false" ht="11.25" hidden="false" customHeight="true" outlineLevel="0" collapsed="false">
      <c r="H89" s="51"/>
      <c r="I89" s="51"/>
    </row>
    <row r="90" customFormat="false" ht="11.25" hidden="false" customHeight="true" outlineLevel="0" collapsed="false">
      <c r="H90" s="51"/>
      <c r="I90" s="51"/>
    </row>
    <row r="91" customFormat="false" ht="11.25" hidden="false" customHeight="true" outlineLevel="0" collapsed="false">
      <c r="O91" s="66" t="s">
        <v>127</v>
      </c>
      <c r="P91" s="51" t="n">
        <f aca="false">SUM(P49:P52)</f>
        <v>17572087</v>
      </c>
      <c r="Q91" s="51" t="n">
        <f aca="false">SUM(Q49:Q52)</f>
        <v>133463642</v>
      </c>
    </row>
    <row r="92" customFormat="false" ht="11.25" hidden="false" customHeight="true" outlineLevel="0" collapsed="false">
      <c r="O92" s="66" t="s">
        <v>128</v>
      </c>
      <c r="P92" s="51"/>
      <c r="Q92" s="51"/>
    </row>
    <row r="93" customFormat="false" ht="11.25" hidden="false" customHeight="true" outlineLevel="0" collapsed="false">
      <c r="O93" s="66" t="s">
        <v>129</v>
      </c>
      <c r="P93" s="51" t="n">
        <f aca="false">+P48-P91-P94</f>
        <v>11020745</v>
      </c>
      <c r="Q93" s="51" t="n">
        <f aca="false">+Q48-Q91-Q94</f>
        <v>136931127</v>
      </c>
    </row>
    <row r="94" customFormat="false" ht="11.25" hidden="false" customHeight="true" outlineLevel="0" collapsed="false">
      <c r="O94" s="66" t="s">
        <v>130</v>
      </c>
      <c r="P94" s="51" t="n">
        <f aca="false">+P59</f>
        <v>301130</v>
      </c>
      <c r="Q94" s="51" t="n">
        <f aca="false">+Q59</f>
        <v>2107910</v>
      </c>
    </row>
  </sheetData>
  <printOptions headings="false" gridLines="false" gridLinesSet="true" horizontalCentered="false" verticalCentered="false"/>
  <pageMargins left="0.39375" right="0.196527777777778" top="0.511805555555556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Q80"/>
  <sheetViews>
    <sheetView showFormulas="false" showGridLines="true" showRowColHeaders="true" showZeros="true" rightToLeft="false" tabSelected="false" showOutlineSymbols="true" defaultGridColor="true" view="normal" topLeftCell="E37" colorId="64" zoomScale="40" zoomScaleNormal="40" zoomScalePageLayoutView="100" workbookViewId="0">
      <selection pane="topLeft" activeCell="J72" activeCellId="0" sqref="J72"/>
    </sheetView>
  </sheetViews>
  <sheetFormatPr defaultColWidth="12.5" defaultRowHeight="14.25" zeroHeight="false" outlineLevelRow="0" outlineLevelCol="0"/>
  <cols>
    <col collapsed="false" customWidth="true" hidden="false" outlineLevel="0" max="1" min="1" style="67" width="33.1"/>
    <col collapsed="false" customWidth="true" hidden="false" outlineLevel="0" max="3" min="2" style="68" width="17.7"/>
    <col collapsed="false" customWidth="true" hidden="false" outlineLevel="0" max="5" min="4" style="69" width="17.7"/>
    <col collapsed="false" customWidth="true" hidden="false" outlineLevel="0" max="6" min="6" style="70" width="2.2"/>
    <col collapsed="false" customWidth="true" hidden="false" outlineLevel="0" max="7" min="7" style="70" width="5.4"/>
    <col collapsed="false" customWidth="true" hidden="false" outlineLevel="0" max="8" min="8" style="71" width="33.9"/>
    <col collapsed="false" customWidth="true" hidden="false" outlineLevel="0" max="12" min="9" style="71" width="17.7"/>
    <col collapsed="false" customWidth="true" hidden="false" outlineLevel="0" max="13" min="13" style="72" width="2.9"/>
    <col collapsed="false" customWidth="true" hidden="false" outlineLevel="0" max="14" min="14" style="72" width="33.7"/>
    <col collapsed="false" customWidth="true" hidden="false" outlineLevel="0" max="15" min="15" style="72" width="1.9"/>
    <col collapsed="false" customWidth="true" hidden="false" outlineLevel="0" max="16" min="16" style="72" width="6.1"/>
    <col collapsed="false" customWidth="true" hidden="false" outlineLevel="0" max="17" min="17" style="72" width="5.2"/>
    <col collapsed="false" customWidth="false" hidden="false" outlineLevel="0" max="31" min="18" style="72" width="12.5"/>
    <col collapsed="false" customWidth="false" hidden="false" outlineLevel="0" max="16384" min="32" style="70" width="12.5"/>
  </cols>
  <sheetData>
    <row r="1" customFormat="false" ht="16.5" hidden="false" customHeight="true" outlineLevel="0" collapsed="false">
      <c r="A1" s="73" t="s">
        <v>36</v>
      </c>
      <c r="B1" s="74" t="s">
        <v>131</v>
      </c>
      <c r="C1" s="74"/>
      <c r="D1" s="74" t="s">
        <v>132</v>
      </c>
      <c r="E1" s="74"/>
      <c r="H1" s="75" t="s">
        <v>36</v>
      </c>
      <c r="I1" s="76" t="str">
        <f aca="false">B1</f>
        <v>제 28(당)기[2026/01/01 ~ 2026/07/31]</v>
      </c>
      <c r="J1" s="76"/>
      <c r="K1" s="75" t="str">
        <f aca="false">D1</f>
        <v>제 27(전)기[2025/01/01 ~ 2025/12/31]</v>
      </c>
      <c r="L1" s="75"/>
    </row>
    <row r="2" customFormat="false" ht="16.5" hidden="false" customHeight="true" outlineLevel="0" collapsed="false">
      <c r="A2" s="73"/>
      <c r="B2" s="74" t="s">
        <v>133</v>
      </c>
      <c r="C2" s="74"/>
      <c r="D2" s="77" t="s">
        <v>133</v>
      </c>
      <c r="E2" s="77"/>
      <c r="H2" s="75"/>
      <c r="I2" s="78" t="s">
        <v>133</v>
      </c>
      <c r="J2" s="78"/>
      <c r="K2" s="78" t="s">
        <v>133</v>
      </c>
      <c r="L2" s="78"/>
    </row>
    <row r="3" customFormat="false" ht="18.75" hidden="false" customHeight="true" outlineLevel="0" collapsed="false">
      <c r="A3" s="79" t="s">
        <v>134</v>
      </c>
      <c r="B3" s="80"/>
      <c r="C3" s="80"/>
      <c r="D3" s="80"/>
      <c r="E3" s="80"/>
      <c r="G3" s="70" t="n">
        <f aca="false">H3=A3</f>
        <v>1</v>
      </c>
      <c r="H3" s="81" t="s">
        <v>134</v>
      </c>
      <c r="I3" s="82"/>
      <c r="J3" s="82"/>
      <c r="K3" s="82"/>
      <c r="L3" s="82"/>
      <c r="N3" s="83" t="s">
        <v>134</v>
      </c>
      <c r="P3" s="72" t="n">
        <f aca="false">H3=N3</f>
        <v>1</v>
      </c>
    </row>
    <row r="4" customFormat="false" ht="16.5" hidden="false" customHeight="true" outlineLevel="0" collapsed="false">
      <c r="A4" s="84" t="s">
        <v>135</v>
      </c>
      <c r="B4" s="80"/>
      <c r="C4" s="80" t="n">
        <f aca="false">J4</f>
        <v>2657446277</v>
      </c>
      <c r="D4" s="80"/>
      <c r="E4" s="80" t="n">
        <f aca="false">L4</f>
        <v>1792860915</v>
      </c>
      <c r="G4" s="70" t="n">
        <f aca="false">H4=A4</f>
        <v>1</v>
      </c>
      <c r="H4" s="85" t="s">
        <v>136</v>
      </c>
      <c r="I4" s="82"/>
      <c r="J4" s="86" t="n">
        <f aca="false">J5+J19</f>
        <v>2657446277</v>
      </c>
      <c r="K4" s="82"/>
      <c r="L4" s="86" t="n">
        <f aca="false">L5+L19</f>
        <v>1792860915</v>
      </c>
      <c r="N4" s="87" t="s">
        <v>136</v>
      </c>
      <c r="P4" s="72" t="n">
        <f aca="false">H4=N4</f>
        <v>1</v>
      </c>
      <c r="Q4" s="72" t="n">
        <f aca="false">C4=J4</f>
        <v>1</v>
      </c>
    </row>
    <row r="5" customFormat="false" ht="16.5" hidden="false" customHeight="true" outlineLevel="0" collapsed="false">
      <c r="A5" s="84" t="s">
        <v>137</v>
      </c>
      <c r="B5" s="80"/>
      <c r="C5" s="80" t="n">
        <f aca="false">J5</f>
        <v>2657446277</v>
      </c>
      <c r="D5" s="80"/>
      <c r="E5" s="80" t="n">
        <f aca="false">L5</f>
        <v>1789510902</v>
      </c>
      <c r="G5" s="70" t="n">
        <f aca="false">H5=A5</f>
        <v>1</v>
      </c>
      <c r="H5" s="85" t="s">
        <v>138</v>
      </c>
      <c r="I5" s="82"/>
      <c r="J5" s="86" t="n">
        <f aca="false">SUM(J6:J18,0)</f>
        <v>2657446277</v>
      </c>
      <c r="K5" s="82"/>
      <c r="L5" s="86" t="n">
        <f aca="false">SUM(L6:L18,0)</f>
        <v>1789510902</v>
      </c>
      <c r="N5" s="87" t="s">
        <v>138</v>
      </c>
      <c r="P5" s="72" t="n">
        <f aca="false">H5=N5</f>
        <v>1</v>
      </c>
      <c r="Q5" s="72" t="n">
        <f aca="false">C5=J5</f>
        <v>1</v>
      </c>
    </row>
    <row r="6" customFormat="false" ht="14.25" hidden="false" customHeight="true" outlineLevel="0" collapsed="false">
      <c r="A6" s="79" t="s">
        <v>139</v>
      </c>
      <c r="B6" s="80"/>
      <c r="C6" s="80" t="n">
        <f aca="false">J6</f>
        <v>262875</v>
      </c>
      <c r="D6" s="80"/>
      <c r="E6" s="80" t="n">
        <f aca="false">L6</f>
        <v>103005</v>
      </c>
      <c r="G6" s="70" t="n">
        <f aca="false">H6=A6</f>
        <v>1</v>
      </c>
      <c r="H6" s="81" t="s">
        <v>139</v>
      </c>
      <c r="I6" s="82"/>
      <c r="J6" s="86" t="n">
        <v>262875</v>
      </c>
      <c r="K6" s="82"/>
      <c r="L6" s="86" t="n">
        <v>103005</v>
      </c>
      <c r="N6" s="83" t="s">
        <v>139</v>
      </c>
      <c r="P6" s="72" t="n">
        <f aca="false">H6=N6</f>
        <v>1</v>
      </c>
      <c r="Q6" s="72" t="n">
        <f aca="false">C6=J6</f>
        <v>1</v>
      </c>
    </row>
    <row r="7" customFormat="false" ht="14.25" hidden="false" customHeight="true" outlineLevel="0" collapsed="false">
      <c r="A7" s="79" t="s">
        <v>140</v>
      </c>
      <c r="B7" s="80"/>
      <c r="C7" s="80" t="n">
        <f aca="false">J7</f>
        <v>560254519</v>
      </c>
      <c r="D7" s="80"/>
      <c r="E7" s="80" t="n">
        <f aca="false">L7</f>
        <v>884266</v>
      </c>
      <c r="G7" s="70" t="n">
        <f aca="false">H7=A7</f>
        <v>1</v>
      </c>
      <c r="H7" s="81" t="s">
        <v>140</v>
      </c>
      <c r="I7" s="82"/>
      <c r="J7" s="86" t="n">
        <v>560254519</v>
      </c>
      <c r="K7" s="82"/>
      <c r="L7" s="86" t="n">
        <v>884266</v>
      </c>
      <c r="N7" s="83" t="s">
        <v>140</v>
      </c>
      <c r="P7" s="72" t="n">
        <f aca="false">H7=N7</f>
        <v>1</v>
      </c>
      <c r="Q7" s="72" t="n">
        <f aca="false">C7=J7</f>
        <v>1</v>
      </c>
    </row>
    <row r="8" customFormat="false" ht="14.25" hidden="false" customHeight="true" outlineLevel="0" collapsed="false">
      <c r="A8" s="79" t="s">
        <v>141</v>
      </c>
      <c r="B8" s="80"/>
      <c r="C8" s="80" t="n">
        <f aca="false">J8</f>
        <v>4645043</v>
      </c>
      <c r="D8" s="80"/>
      <c r="E8" s="80" t="n">
        <f aca="false">L8</f>
        <v>45254120</v>
      </c>
      <c r="G8" s="70" t="n">
        <f aca="false">H8=A8</f>
        <v>1</v>
      </c>
      <c r="H8" s="81" t="s">
        <v>141</v>
      </c>
      <c r="I8" s="82"/>
      <c r="J8" s="88" t="n">
        <v>4645043</v>
      </c>
      <c r="K8" s="82"/>
      <c r="L8" s="88" t="n">
        <v>45254120</v>
      </c>
      <c r="N8" s="83" t="s">
        <v>141</v>
      </c>
      <c r="P8" s="72" t="n">
        <f aca="false">H8=N8</f>
        <v>1</v>
      </c>
      <c r="Q8" s="72" t="n">
        <f aca="false">C8=J8</f>
        <v>1</v>
      </c>
    </row>
    <row r="9" customFormat="false" ht="14.25" hidden="false" customHeight="true" outlineLevel="0" collapsed="false">
      <c r="A9" s="81" t="s">
        <v>142</v>
      </c>
      <c r="B9" s="80"/>
      <c r="C9" s="80" t="n">
        <f aca="false">J9</f>
        <v>0</v>
      </c>
      <c r="D9" s="80"/>
      <c r="E9" s="80" t="n">
        <f aca="false">L9</f>
        <v>0</v>
      </c>
      <c r="G9" s="70" t="n">
        <f aca="false">H9=A9</f>
        <v>1</v>
      </c>
      <c r="H9" s="81" t="s">
        <v>142</v>
      </c>
      <c r="I9" s="82"/>
      <c r="J9" s="89"/>
      <c r="K9" s="82"/>
      <c r="L9" s="88"/>
      <c r="N9" s="90" t="s">
        <v>142</v>
      </c>
      <c r="P9" s="72" t="n">
        <f aca="false">H9=N9</f>
        <v>1</v>
      </c>
      <c r="Q9" s="72" t="n">
        <f aca="false">C9=J9</f>
        <v>1</v>
      </c>
    </row>
    <row r="10" customFormat="false" ht="14.25" hidden="false" customHeight="true" outlineLevel="0" collapsed="false">
      <c r="A10" s="79" t="s">
        <v>143</v>
      </c>
      <c r="B10" s="80"/>
      <c r="C10" s="80" t="n">
        <f aca="false">J10</f>
        <v>2079944752</v>
      </c>
      <c r="D10" s="80"/>
      <c r="E10" s="80" t="n">
        <f aca="false">L10</f>
        <v>1720894049</v>
      </c>
      <c r="G10" s="70" t="n">
        <f aca="false">H10=A10</f>
        <v>1</v>
      </c>
      <c r="H10" s="81" t="s">
        <v>143</v>
      </c>
      <c r="I10" s="82"/>
      <c r="J10" s="88" t="n">
        <v>2079944752</v>
      </c>
      <c r="K10" s="82"/>
      <c r="L10" s="88" t="n">
        <v>1720894049</v>
      </c>
      <c r="N10" s="83" t="s">
        <v>143</v>
      </c>
      <c r="P10" s="72" t="n">
        <f aca="false">H10=N10</f>
        <v>1</v>
      </c>
      <c r="Q10" s="72" t="n">
        <f aca="false">C10=J10</f>
        <v>1</v>
      </c>
    </row>
    <row r="11" customFormat="false" ht="14.25" hidden="false" customHeight="true" outlineLevel="0" collapsed="false">
      <c r="A11" s="79" t="s">
        <v>144</v>
      </c>
      <c r="B11" s="80"/>
      <c r="C11" s="80" t="n">
        <f aca="false">J11</f>
        <v>0</v>
      </c>
      <c r="D11" s="80"/>
      <c r="E11" s="80" t="n">
        <f aca="false">L11</f>
        <v>0</v>
      </c>
      <c r="G11" s="70" t="n">
        <f aca="false">H11=A11</f>
        <v>1</v>
      </c>
      <c r="H11" s="81" t="s">
        <v>144</v>
      </c>
      <c r="I11" s="82"/>
      <c r="J11" s="86" t="n">
        <v>0</v>
      </c>
      <c r="K11" s="82"/>
      <c r="L11" s="86" t="n">
        <v>0</v>
      </c>
      <c r="N11" s="83" t="s">
        <v>144</v>
      </c>
      <c r="P11" s="72" t="n">
        <f aca="false">H11=N11</f>
        <v>1</v>
      </c>
      <c r="Q11" s="72" t="n">
        <f aca="false">C11=J11</f>
        <v>1</v>
      </c>
    </row>
    <row r="12" customFormat="false" ht="14.25" hidden="false" customHeight="true" outlineLevel="0" collapsed="false">
      <c r="A12" s="79" t="s">
        <v>145</v>
      </c>
      <c r="B12" s="80"/>
      <c r="C12" s="80" t="n">
        <f aca="false">J12</f>
        <v>0</v>
      </c>
      <c r="D12" s="80"/>
      <c r="E12" s="80" t="n">
        <f aca="false">L12</f>
        <v>0</v>
      </c>
      <c r="G12" s="70" t="n">
        <f aca="false">H12=A12</f>
        <v>1</v>
      </c>
      <c r="H12" s="81" t="s">
        <v>145</v>
      </c>
      <c r="I12" s="82"/>
      <c r="J12" s="86" t="n">
        <v>0</v>
      </c>
      <c r="K12" s="82"/>
      <c r="L12" s="86" t="n">
        <v>0</v>
      </c>
      <c r="N12" s="83" t="s">
        <v>145</v>
      </c>
      <c r="P12" s="72" t="n">
        <f aca="false">H12=N12</f>
        <v>1</v>
      </c>
      <c r="Q12" s="72" t="n">
        <f aca="false">C12=J12</f>
        <v>1</v>
      </c>
    </row>
    <row r="13" customFormat="false" ht="14.25" hidden="false" customHeight="true" outlineLevel="0" collapsed="false">
      <c r="A13" s="79" t="s">
        <v>146</v>
      </c>
      <c r="B13" s="80"/>
      <c r="C13" s="80" t="n">
        <f aca="false">J13</f>
        <v>44817</v>
      </c>
      <c r="D13" s="80"/>
      <c r="E13" s="80" t="n">
        <f aca="false">L13</f>
        <v>44817</v>
      </c>
      <c r="G13" s="70" t="n">
        <f aca="false">H13=A13</f>
        <v>1</v>
      </c>
      <c r="H13" s="81" t="s">
        <v>146</v>
      </c>
      <c r="I13" s="82"/>
      <c r="J13" s="89" t="n">
        <v>44817</v>
      </c>
      <c r="K13" s="82"/>
      <c r="L13" s="89" t="n">
        <v>44817</v>
      </c>
      <c r="N13" s="83" t="s">
        <v>146</v>
      </c>
      <c r="P13" s="72" t="n">
        <f aca="false">H13=N13</f>
        <v>1</v>
      </c>
      <c r="Q13" s="72" t="n">
        <f aca="false">C13=J13</f>
        <v>1</v>
      </c>
    </row>
    <row r="14" customFormat="false" ht="14.25" hidden="false" customHeight="true" outlineLevel="0" collapsed="false">
      <c r="A14" s="79" t="s">
        <v>147</v>
      </c>
      <c r="B14" s="80"/>
      <c r="C14" s="80" t="n">
        <f aca="false">J14</f>
        <v>0</v>
      </c>
      <c r="D14" s="80"/>
      <c r="E14" s="80" t="n">
        <f aca="false">L14</f>
        <v>0</v>
      </c>
      <c r="G14" s="70" t="n">
        <f aca="false">H14=A14</f>
        <v>1</v>
      </c>
      <c r="H14" s="81" t="s">
        <v>147</v>
      </c>
      <c r="I14" s="82"/>
      <c r="J14" s="86"/>
      <c r="K14" s="82"/>
      <c r="L14" s="86"/>
      <c r="N14" s="83" t="s">
        <v>147</v>
      </c>
      <c r="P14" s="72" t="n">
        <f aca="false">H14=N14</f>
        <v>1</v>
      </c>
      <c r="Q14" s="72" t="n">
        <f aca="false">C14=J14</f>
        <v>1</v>
      </c>
    </row>
    <row r="15" customFormat="false" ht="14.25" hidden="false" customHeight="true" outlineLevel="0" collapsed="false">
      <c r="A15" s="79" t="s">
        <v>148</v>
      </c>
      <c r="B15" s="80"/>
      <c r="C15" s="80" t="n">
        <f aca="false">J15</f>
        <v>0</v>
      </c>
      <c r="D15" s="80"/>
      <c r="E15" s="80" t="n">
        <f aca="false">L15</f>
        <v>17481100</v>
      </c>
      <c r="G15" s="70" t="n">
        <f aca="false">H15=A15</f>
        <v>1</v>
      </c>
      <c r="H15" s="81" t="s">
        <v>148</v>
      </c>
      <c r="I15" s="82"/>
      <c r="J15" s="86"/>
      <c r="K15" s="82"/>
      <c r="L15" s="86" t="n">
        <v>17481100</v>
      </c>
      <c r="N15" s="83" t="s">
        <v>148</v>
      </c>
      <c r="P15" s="72" t="n">
        <f aca="false">H15=N15</f>
        <v>1</v>
      </c>
      <c r="Q15" s="72" t="n">
        <f aca="false">C15=J15</f>
        <v>1</v>
      </c>
    </row>
    <row r="16" customFormat="false" ht="14.25" hidden="false" customHeight="true" outlineLevel="0" collapsed="false">
      <c r="A16" s="79" t="s">
        <v>149</v>
      </c>
      <c r="B16" s="80"/>
      <c r="C16" s="80" t="n">
        <f aca="false">J16</f>
        <v>1997785</v>
      </c>
      <c r="D16" s="80"/>
      <c r="E16" s="80" t="n">
        <f aca="false">L16</f>
        <v>1323425</v>
      </c>
      <c r="G16" s="70" t="n">
        <f aca="false">H16=A16</f>
        <v>1</v>
      </c>
      <c r="H16" s="81" t="s">
        <v>149</v>
      </c>
      <c r="I16" s="82"/>
      <c r="J16" s="86" t="n">
        <v>1997785</v>
      </c>
      <c r="K16" s="82"/>
      <c r="L16" s="86" t="n">
        <v>1323425</v>
      </c>
      <c r="N16" s="83" t="s">
        <v>149</v>
      </c>
      <c r="P16" s="72" t="n">
        <f aca="false">H16=N16</f>
        <v>1</v>
      </c>
      <c r="Q16" s="72" t="n">
        <f aca="false">C16=J16</f>
        <v>1</v>
      </c>
    </row>
    <row r="17" customFormat="false" ht="14.25" hidden="false" customHeight="true" outlineLevel="0" collapsed="false">
      <c r="A17" s="79" t="s">
        <v>150</v>
      </c>
      <c r="B17" s="80"/>
      <c r="C17" s="80" t="n">
        <f aca="false">J17</f>
        <v>10285956</v>
      </c>
      <c r="D17" s="80"/>
      <c r="E17" s="80" t="n">
        <f aca="false">L17</f>
        <v>0</v>
      </c>
      <c r="G17" s="70" t="n">
        <f aca="false">H17=A17</f>
        <v>1</v>
      </c>
      <c r="H17" s="81" t="s">
        <v>150</v>
      </c>
      <c r="I17" s="82"/>
      <c r="J17" s="86" t="n">
        <v>10285956</v>
      </c>
      <c r="K17" s="82"/>
      <c r="L17" s="86" t="n">
        <v>0</v>
      </c>
      <c r="N17" s="83" t="s">
        <v>150</v>
      </c>
      <c r="P17" s="72" t="n">
        <f aca="false">H17=N17</f>
        <v>1</v>
      </c>
      <c r="Q17" s="72" t="n">
        <f aca="false">C17=J17</f>
        <v>1</v>
      </c>
    </row>
    <row r="18" customFormat="false" ht="14.25" hidden="false" customHeight="true" outlineLevel="0" collapsed="false">
      <c r="A18" s="79" t="s">
        <v>151</v>
      </c>
      <c r="B18" s="80"/>
      <c r="C18" s="80" t="n">
        <f aca="false">J18</f>
        <v>10530</v>
      </c>
      <c r="D18" s="80"/>
      <c r="E18" s="80" t="n">
        <f aca="false">L18</f>
        <v>3526120</v>
      </c>
      <c r="G18" s="70" t="n">
        <f aca="false">H18=A18</f>
        <v>1</v>
      </c>
      <c r="H18" s="81" t="s">
        <v>151</v>
      </c>
      <c r="I18" s="82"/>
      <c r="J18" s="86" t="n">
        <v>10530</v>
      </c>
      <c r="K18" s="82"/>
      <c r="L18" s="86" t="n">
        <v>3526120</v>
      </c>
      <c r="N18" s="83" t="s">
        <v>151</v>
      </c>
      <c r="P18" s="72" t="n">
        <f aca="false">H18=N18</f>
        <v>1</v>
      </c>
      <c r="Q18" s="72" t="n">
        <f aca="false">C18=J18</f>
        <v>1</v>
      </c>
    </row>
    <row r="19" customFormat="false" ht="16.5" hidden="false" customHeight="true" outlineLevel="0" collapsed="false">
      <c r="A19" s="84" t="s">
        <v>152</v>
      </c>
      <c r="B19" s="80"/>
      <c r="C19" s="80" t="n">
        <f aca="false">J19</f>
        <v>0</v>
      </c>
      <c r="D19" s="80"/>
      <c r="E19" s="80" t="n">
        <f aca="false">L19</f>
        <v>3350013</v>
      </c>
      <c r="G19" s="70" t="n">
        <f aca="false">H19=A19</f>
        <v>1</v>
      </c>
      <c r="H19" s="85" t="s">
        <v>153</v>
      </c>
      <c r="I19" s="82"/>
      <c r="J19" s="86" t="n">
        <f aca="false">SUM(J20:J22,0)</f>
        <v>0</v>
      </c>
      <c r="K19" s="82"/>
      <c r="L19" s="86" t="n">
        <f aca="false">SUM(L20:L22,0)</f>
        <v>3350013</v>
      </c>
      <c r="N19" s="87" t="s">
        <v>153</v>
      </c>
      <c r="P19" s="72" t="n">
        <f aca="false">H19=N19</f>
        <v>1</v>
      </c>
      <c r="Q19" s="72" t="n">
        <f aca="false">C19=J19</f>
        <v>1</v>
      </c>
    </row>
    <row r="20" customFormat="false" ht="14.25" hidden="false" customHeight="true" outlineLevel="0" collapsed="false">
      <c r="A20" s="79" t="s">
        <v>154</v>
      </c>
      <c r="B20" s="80"/>
      <c r="C20" s="80" t="n">
        <f aca="false">J20</f>
        <v>0</v>
      </c>
      <c r="D20" s="80"/>
      <c r="E20" s="80" t="n">
        <f aca="false">L20</f>
        <v>3350013</v>
      </c>
      <c r="G20" s="70" t="n">
        <f aca="false">H20=A20</f>
        <v>1</v>
      </c>
      <c r="H20" s="81" t="s">
        <v>154</v>
      </c>
      <c r="I20" s="82"/>
      <c r="J20" s="86"/>
      <c r="K20" s="82"/>
      <c r="L20" s="86" t="n">
        <v>3350013</v>
      </c>
      <c r="N20" s="83" t="s">
        <v>154</v>
      </c>
      <c r="P20" s="72" t="n">
        <f aca="false">H20=N20</f>
        <v>1</v>
      </c>
      <c r="Q20" s="72" t="n">
        <f aca="false">C20=J20</f>
        <v>1</v>
      </c>
    </row>
    <row r="21" customFormat="false" ht="14.25" hidden="false" customHeight="true" outlineLevel="0" collapsed="false">
      <c r="A21" s="79" t="s">
        <v>155</v>
      </c>
      <c r="B21" s="80"/>
      <c r="C21" s="80" t="n">
        <f aca="false">J21</f>
        <v>0</v>
      </c>
      <c r="D21" s="80"/>
      <c r="E21" s="80" t="n">
        <f aca="false">L21</f>
        <v>0</v>
      </c>
      <c r="G21" s="70" t="n">
        <f aca="false">H21=A21</f>
        <v>1</v>
      </c>
      <c r="H21" s="81" t="s">
        <v>155</v>
      </c>
      <c r="I21" s="82"/>
      <c r="J21" s="86"/>
      <c r="K21" s="82"/>
      <c r="L21" s="86" t="n">
        <v>0</v>
      </c>
      <c r="N21" s="83" t="s">
        <v>155</v>
      </c>
      <c r="P21" s="72" t="n">
        <f aca="false">H21=N21</f>
        <v>1</v>
      </c>
      <c r="Q21" s="72" t="n">
        <f aca="false">C21=J21</f>
        <v>1</v>
      </c>
    </row>
    <row r="22" customFormat="false" ht="14.25" hidden="false" customHeight="true" outlineLevel="0" collapsed="false">
      <c r="A22" s="79" t="s">
        <v>156</v>
      </c>
      <c r="B22" s="80"/>
      <c r="C22" s="80" t="n">
        <f aca="false">J22</f>
        <v>0</v>
      </c>
      <c r="D22" s="80"/>
      <c r="E22" s="80" t="n">
        <f aca="false">L22</f>
        <v>0</v>
      </c>
      <c r="G22" s="70" t="n">
        <f aca="false">H22=A22</f>
        <v>1</v>
      </c>
      <c r="H22" s="81" t="s">
        <v>156</v>
      </c>
      <c r="I22" s="82"/>
      <c r="J22" s="86"/>
      <c r="K22" s="82"/>
      <c r="L22" s="86"/>
      <c r="N22" s="83" t="s">
        <v>156</v>
      </c>
      <c r="P22" s="72" t="n">
        <f aca="false">H22=N22</f>
        <v>1</v>
      </c>
      <c r="Q22" s="72" t="n">
        <f aca="false">C22=J22</f>
        <v>1</v>
      </c>
    </row>
    <row r="23" customFormat="false" ht="14.25" hidden="false" customHeight="true" outlineLevel="0" collapsed="false">
      <c r="A23" s="79" t="s">
        <v>157</v>
      </c>
      <c r="B23" s="80"/>
      <c r="C23" s="80" t="n">
        <f aca="false">J23</f>
        <v>0</v>
      </c>
      <c r="D23" s="80"/>
      <c r="E23" s="80" t="n">
        <f aca="false">L23</f>
        <v>0</v>
      </c>
      <c r="G23" s="70" t="n">
        <f aca="false">H23=A23</f>
        <v>1</v>
      </c>
      <c r="H23" s="79" t="s">
        <v>157</v>
      </c>
      <c r="I23" s="82"/>
      <c r="J23" s="82"/>
      <c r="K23" s="82"/>
      <c r="L23" s="88"/>
      <c r="N23" s="83" t="s">
        <v>157</v>
      </c>
      <c r="P23" s="72" t="n">
        <f aca="false">H23=N23</f>
        <v>1</v>
      </c>
      <c r="Q23" s="72" t="n">
        <f aca="false">C23=J23</f>
        <v>1</v>
      </c>
    </row>
    <row r="24" customFormat="false" ht="16.5" hidden="false" customHeight="true" outlineLevel="0" collapsed="false">
      <c r="A24" s="84" t="s">
        <v>158</v>
      </c>
      <c r="B24" s="80"/>
      <c r="C24" s="80" t="n">
        <f aca="false">J24</f>
        <v>21839373782</v>
      </c>
      <c r="D24" s="80"/>
      <c r="E24" s="80" t="n">
        <f aca="false">L24</f>
        <v>22923655684</v>
      </c>
      <c r="G24" s="70" t="n">
        <f aca="false">H24=A24</f>
        <v>1</v>
      </c>
      <c r="H24" s="85" t="s">
        <v>159</v>
      </c>
      <c r="I24" s="82"/>
      <c r="J24" s="86" t="n">
        <f aca="false">J25+J29+J38+J41</f>
        <v>21839373782</v>
      </c>
      <c r="K24" s="82"/>
      <c r="L24" s="86" t="n">
        <f aca="false">L25+L29+L38+L41</f>
        <v>22923655684</v>
      </c>
      <c r="N24" s="87" t="s">
        <v>159</v>
      </c>
      <c r="P24" s="72" t="n">
        <f aca="false">H24=N24</f>
        <v>1</v>
      </c>
      <c r="Q24" s="72" t="n">
        <f aca="false">C24=J24</f>
        <v>1</v>
      </c>
    </row>
    <row r="25" customFormat="false" ht="16.5" hidden="false" customHeight="true" outlineLevel="0" collapsed="false">
      <c r="A25" s="84" t="s">
        <v>160</v>
      </c>
      <c r="B25" s="80"/>
      <c r="C25" s="80" t="n">
        <f aca="false">J25</f>
        <v>20350490411</v>
      </c>
      <c r="D25" s="80"/>
      <c r="E25" s="80" t="n">
        <f aca="false">L25</f>
        <v>20350490411</v>
      </c>
      <c r="G25" s="70" t="n">
        <f aca="false">H25=A25</f>
        <v>1</v>
      </c>
      <c r="H25" s="85" t="s">
        <v>161</v>
      </c>
      <c r="I25" s="82"/>
      <c r="J25" s="86" t="n">
        <f aca="false">SUM(J26:J28,0)</f>
        <v>20350490411</v>
      </c>
      <c r="K25" s="82"/>
      <c r="L25" s="86" t="n">
        <f aca="false">SUM(L26:L28,0)</f>
        <v>20350490411</v>
      </c>
      <c r="N25" s="87" t="s">
        <v>161</v>
      </c>
      <c r="P25" s="72" t="n">
        <f aca="false">H25=N25</f>
        <v>1</v>
      </c>
      <c r="Q25" s="72" t="n">
        <f aca="false">C25=J25</f>
        <v>1</v>
      </c>
    </row>
    <row r="26" customFormat="false" ht="14.25" hidden="false" customHeight="true" outlineLevel="0" collapsed="false">
      <c r="A26" s="79" t="s">
        <v>162</v>
      </c>
      <c r="B26" s="80"/>
      <c r="C26" s="80" t="n">
        <f aca="false">J26</f>
        <v>109910000</v>
      </c>
      <c r="D26" s="80"/>
      <c r="E26" s="80" t="n">
        <f aca="false">L26</f>
        <v>109910000</v>
      </c>
      <c r="G26" s="70" t="n">
        <f aca="false">H26=A26</f>
        <v>1</v>
      </c>
      <c r="H26" s="81" t="s">
        <v>162</v>
      </c>
      <c r="I26" s="82"/>
      <c r="J26" s="86" t="n">
        <v>109910000</v>
      </c>
      <c r="K26" s="82"/>
      <c r="L26" s="86" t="n">
        <v>109910000</v>
      </c>
      <c r="N26" s="83" t="s">
        <v>162</v>
      </c>
      <c r="P26" s="72" t="n">
        <f aca="false">H26=N26</f>
        <v>1</v>
      </c>
      <c r="Q26" s="72" t="n">
        <f aca="false">C26=J26</f>
        <v>1</v>
      </c>
    </row>
    <row r="27" customFormat="false" ht="14.25" hidden="false" customHeight="true" outlineLevel="0" collapsed="false">
      <c r="A27" s="79" t="s">
        <v>163</v>
      </c>
      <c r="B27" s="80"/>
      <c r="C27" s="80" t="n">
        <f aca="false">J27</f>
        <v>20237914013</v>
      </c>
      <c r="D27" s="80"/>
      <c r="E27" s="80" t="n">
        <f aca="false">L27</f>
        <v>20237914013</v>
      </c>
      <c r="G27" s="70" t="n">
        <f aca="false">H27=A27</f>
        <v>1</v>
      </c>
      <c r="H27" s="81" t="s">
        <v>163</v>
      </c>
      <c r="I27" s="82"/>
      <c r="J27" s="86" t="n">
        <v>20237914013</v>
      </c>
      <c r="K27" s="82"/>
      <c r="L27" s="86" t="n">
        <v>20237914013</v>
      </c>
      <c r="N27" s="83" t="s">
        <v>163</v>
      </c>
      <c r="P27" s="72" t="n">
        <f aca="false">H27=N27</f>
        <v>1</v>
      </c>
      <c r="Q27" s="72" t="n">
        <f aca="false">C27=J27</f>
        <v>1</v>
      </c>
    </row>
    <row r="28" customFormat="false" ht="14.25" hidden="false" customHeight="true" outlineLevel="0" collapsed="false">
      <c r="A28" s="79" t="s">
        <v>164</v>
      </c>
      <c r="B28" s="80"/>
      <c r="C28" s="80" t="n">
        <f aca="false">J28</f>
        <v>2666398</v>
      </c>
      <c r="D28" s="80"/>
      <c r="E28" s="80" t="n">
        <f aca="false">L28</f>
        <v>2666398</v>
      </c>
      <c r="G28" s="70" t="n">
        <f aca="false">H28=A28</f>
        <v>1</v>
      </c>
      <c r="H28" s="81" t="s">
        <v>164</v>
      </c>
      <c r="I28" s="82"/>
      <c r="J28" s="86" t="n">
        <v>2666398</v>
      </c>
      <c r="K28" s="82"/>
      <c r="L28" s="86" t="n">
        <v>2666398</v>
      </c>
      <c r="N28" s="83" t="s">
        <v>164</v>
      </c>
      <c r="P28" s="72" t="n">
        <f aca="false">H28=N28</f>
        <v>1</v>
      </c>
      <c r="Q28" s="72" t="n">
        <f aca="false">C28=J28</f>
        <v>1</v>
      </c>
    </row>
    <row r="29" customFormat="false" ht="15" hidden="false" customHeight="true" outlineLevel="0" collapsed="false">
      <c r="A29" s="84" t="s">
        <v>165</v>
      </c>
      <c r="B29" s="80"/>
      <c r="C29" s="80" t="n">
        <f aca="false">J29</f>
        <v>5180584</v>
      </c>
      <c r="D29" s="80"/>
      <c r="E29" s="80" t="n">
        <f aca="false">L29</f>
        <v>7288494</v>
      </c>
      <c r="G29" s="70" t="n">
        <f aca="false">H29=A29</f>
        <v>1</v>
      </c>
      <c r="H29" s="85" t="s">
        <v>166</v>
      </c>
      <c r="I29" s="82"/>
      <c r="J29" s="86" t="n">
        <f aca="false">SUM(J30:J37)</f>
        <v>5180584</v>
      </c>
      <c r="K29" s="82"/>
      <c r="L29" s="86" t="n">
        <f aca="false">SUM(L30:L37)</f>
        <v>7288494</v>
      </c>
      <c r="N29" s="87" t="s">
        <v>166</v>
      </c>
      <c r="P29" s="72" t="n">
        <f aca="false">H29=N29</f>
        <v>1</v>
      </c>
      <c r="Q29" s="72" t="n">
        <f aca="false">C29=J29</f>
        <v>1</v>
      </c>
    </row>
    <row r="30" customFormat="false" ht="14.25" hidden="false" customHeight="true" outlineLevel="0" collapsed="false">
      <c r="A30" s="79" t="s">
        <v>167</v>
      </c>
      <c r="B30" s="80" t="n">
        <f aca="false">I30</f>
        <v>86822518</v>
      </c>
      <c r="C30" s="80" t="n">
        <f aca="false">J30</f>
        <v>0</v>
      </c>
      <c r="D30" s="80" t="n">
        <f aca="false">K30</f>
        <v>86822518</v>
      </c>
      <c r="E30" s="80" t="n">
        <f aca="false">L30</f>
        <v>0</v>
      </c>
      <c r="G30" s="70" t="n">
        <f aca="false">H30=A30</f>
        <v>1</v>
      </c>
      <c r="H30" s="81" t="s">
        <v>167</v>
      </c>
      <c r="I30" s="86" t="n">
        <v>86822518</v>
      </c>
      <c r="J30" s="82"/>
      <c r="K30" s="86" t="n">
        <v>86822518</v>
      </c>
      <c r="L30" s="82"/>
      <c r="N30" s="83" t="s">
        <v>167</v>
      </c>
      <c r="P30" s="72" t="n">
        <f aca="false">H30=N30</f>
        <v>1</v>
      </c>
      <c r="Q30" s="72" t="n">
        <f aca="false">C30=J30</f>
        <v>1</v>
      </c>
    </row>
    <row r="31" customFormat="false" ht="14.25" hidden="false" customHeight="true" outlineLevel="0" collapsed="false">
      <c r="A31" s="79" t="s">
        <v>168</v>
      </c>
      <c r="B31" s="80" t="n">
        <f aca="false">I31</f>
        <v>86816518</v>
      </c>
      <c r="C31" s="80" t="n">
        <f aca="false">J31</f>
        <v>6000</v>
      </c>
      <c r="D31" s="80" t="n">
        <f aca="false">K31</f>
        <v>86816518</v>
      </c>
      <c r="E31" s="80" t="n">
        <f aca="false">L31</f>
        <v>6000</v>
      </c>
      <c r="G31" s="70" t="n">
        <f aca="false">H31=A31</f>
        <v>1</v>
      </c>
      <c r="H31" s="81" t="s">
        <v>168</v>
      </c>
      <c r="I31" s="86" t="n">
        <v>86816518</v>
      </c>
      <c r="J31" s="86" t="n">
        <f aca="false">I30-I31</f>
        <v>6000</v>
      </c>
      <c r="K31" s="86" t="n">
        <v>86816518</v>
      </c>
      <c r="L31" s="86" t="n">
        <f aca="false">K30-K31</f>
        <v>6000</v>
      </c>
      <c r="N31" s="83" t="s">
        <v>168</v>
      </c>
      <c r="P31" s="72" t="n">
        <f aca="false">H31=N31</f>
        <v>1</v>
      </c>
      <c r="Q31" s="72" t="n">
        <f aca="false">C31=J31</f>
        <v>1</v>
      </c>
    </row>
    <row r="32" customFormat="false" ht="14.25" hidden="false" customHeight="true" outlineLevel="0" collapsed="false">
      <c r="A32" s="79" t="s">
        <v>169</v>
      </c>
      <c r="B32" s="80" t="n">
        <f aca="false">I32</f>
        <v>110968776</v>
      </c>
      <c r="C32" s="80" t="n">
        <f aca="false">J32</f>
        <v>0</v>
      </c>
      <c r="D32" s="80" t="n">
        <f aca="false">K32</f>
        <v>110968776</v>
      </c>
      <c r="E32" s="80" t="n">
        <f aca="false">L32</f>
        <v>0</v>
      </c>
      <c r="G32" s="70" t="n">
        <f aca="false">H32=A32</f>
        <v>1</v>
      </c>
      <c r="H32" s="81" t="s">
        <v>169</v>
      </c>
      <c r="I32" s="86" t="n">
        <v>110968776</v>
      </c>
      <c r="J32" s="88"/>
      <c r="K32" s="86" t="n">
        <v>110968776</v>
      </c>
      <c r="L32" s="82"/>
      <c r="N32" s="83" t="s">
        <v>169</v>
      </c>
      <c r="P32" s="72" t="n">
        <f aca="false">H32=N32</f>
        <v>1</v>
      </c>
      <c r="Q32" s="72" t="n">
        <f aca="false">C32=J32</f>
        <v>1</v>
      </c>
    </row>
    <row r="33" customFormat="false" ht="14.25" hidden="false" customHeight="true" outlineLevel="0" collapsed="false">
      <c r="A33" s="79" t="s">
        <v>168</v>
      </c>
      <c r="B33" s="80" t="n">
        <f aca="false">I33</f>
        <v>105840560</v>
      </c>
      <c r="C33" s="80" t="n">
        <f aca="false">J33</f>
        <v>5128216</v>
      </c>
      <c r="D33" s="80" t="n">
        <f aca="false">K33</f>
        <v>103732650</v>
      </c>
      <c r="E33" s="80" t="n">
        <f aca="false">L33</f>
        <v>7236126</v>
      </c>
      <c r="G33" s="70" t="n">
        <f aca="false">H33=A33</f>
        <v>1</v>
      </c>
      <c r="H33" s="81" t="s">
        <v>168</v>
      </c>
      <c r="I33" s="86" t="n">
        <v>105840560</v>
      </c>
      <c r="J33" s="86" t="n">
        <f aca="false">I32-I33</f>
        <v>5128216</v>
      </c>
      <c r="K33" s="86" t="n">
        <v>103732650</v>
      </c>
      <c r="L33" s="86" t="n">
        <f aca="false">K32-K33</f>
        <v>7236126</v>
      </c>
      <c r="N33" s="83" t="s">
        <v>168</v>
      </c>
      <c r="P33" s="72" t="n">
        <f aca="false">H33=N33</f>
        <v>1</v>
      </c>
      <c r="Q33" s="72" t="n">
        <f aca="false">C33=J33</f>
        <v>1</v>
      </c>
    </row>
    <row r="34" customFormat="false" ht="14.25" hidden="false" customHeight="true" outlineLevel="0" collapsed="false">
      <c r="A34" s="79" t="s">
        <v>170</v>
      </c>
      <c r="B34" s="80" t="n">
        <f aca="false">I34</f>
        <v>47994865</v>
      </c>
      <c r="C34" s="80" t="n">
        <f aca="false">J34</f>
        <v>0</v>
      </c>
      <c r="D34" s="80" t="n">
        <f aca="false">K34</f>
        <v>47994865</v>
      </c>
      <c r="E34" s="80" t="n">
        <f aca="false">L34</f>
        <v>0</v>
      </c>
      <c r="G34" s="70" t="n">
        <f aca="false">H34=A34</f>
        <v>1</v>
      </c>
      <c r="H34" s="81" t="s">
        <v>170</v>
      </c>
      <c r="I34" s="86" t="n">
        <v>47994865</v>
      </c>
      <c r="J34" s="82"/>
      <c r="K34" s="86" t="n">
        <v>47994865</v>
      </c>
      <c r="L34" s="82"/>
      <c r="N34" s="83" t="s">
        <v>170</v>
      </c>
      <c r="P34" s="72" t="n">
        <f aca="false">H34=N34</f>
        <v>1</v>
      </c>
      <c r="Q34" s="72" t="n">
        <f aca="false">C34=J34</f>
        <v>1</v>
      </c>
    </row>
    <row r="35" customFormat="false" ht="14.25" hidden="false" customHeight="true" outlineLevel="0" collapsed="false">
      <c r="A35" s="79" t="s">
        <v>168</v>
      </c>
      <c r="B35" s="80" t="n">
        <f aca="false">I35</f>
        <v>47953865</v>
      </c>
      <c r="C35" s="80" t="n">
        <f aca="false">J35</f>
        <v>41000</v>
      </c>
      <c r="D35" s="80" t="n">
        <f aca="false">K35</f>
        <v>47953865</v>
      </c>
      <c r="E35" s="80" t="n">
        <f aca="false">L35</f>
        <v>41000</v>
      </c>
      <c r="G35" s="70" t="n">
        <f aca="false">H35=A35</f>
        <v>1</v>
      </c>
      <c r="H35" s="81" t="s">
        <v>168</v>
      </c>
      <c r="I35" s="86" t="n">
        <v>47953865</v>
      </c>
      <c r="J35" s="86" t="n">
        <f aca="false">I34-I35</f>
        <v>41000</v>
      </c>
      <c r="K35" s="86" t="n">
        <v>47953865</v>
      </c>
      <c r="L35" s="86" t="n">
        <f aca="false">K34-K35</f>
        <v>41000</v>
      </c>
      <c r="N35" s="83" t="s">
        <v>168</v>
      </c>
      <c r="P35" s="72" t="n">
        <f aca="false">H35=N35</f>
        <v>1</v>
      </c>
      <c r="Q35" s="72" t="n">
        <f aca="false">C35=J35</f>
        <v>1</v>
      </c>
    </row>
    <row r="36" customFormat="false" ht="14.25" hidden="false" customHeight="true" outlineLevel="0" collapsed="false">
      <c r="A36" s="79" t="s">
        <v>171</v>
      </c>
      <c r="B36" s="80" t="n">
        <f aca="false">I36</f>
        <v>37906280</v>
      </c>
      <c r="C36" s="80" t="n">
        <f aca="false">J36</f>
        <v>0</v>
      </c>
      <c r="D36" s="80" t="n">
        <f aca="false">K36</f>
        <v>37906280</v>
      </c>
      <c r="E36" s="80" t="n">
        <f aca="false">L36</f>
        <v>0</v>
      </c>
      <c r="G36" s="70" t="n">
        <f aca="false">H36=A36</f>
        <v>1</v>
      </c>
      <c r="H36" s="81" t="s">
        <v>171</v>
      </c>
      <c r="I36" s="86" t="n">
        <v>37906280</v>
      </c>
      <c r="J36" s="82"/>
      <c r="K36" s="86" t="n">
        <v>37906280</v>
      </c>
      <c r="L36" s="82"/>
      <c r="N36" s="83" t="s">
        <v>171</v>
      </c>
      <c r="P36" s="72" t="n">
        <f aca="false">H36=N36</f>
        <v>1</v>
      </c>
      <c r="Q36" s="72" t="n">
        <f aca="false">C36=J36</f>
        <v>1</v>
      </c>
    </row>
    <row r="37" customFormat="false" ht="14.25" hidden="false" customHeight="true" outlineLevel="0" collapsed="false">
      <c r="A37" s="79" t="s">
        <v>168</v>
      </c>
      <c r="B37" s="80" t="n">
        <f aca="false">I37</f>
        <v>37900912</v>
      </c>
      <c r="C37" s="80" t="n">
        <f aca="false">J37</f>
        <v>5368</v>
      </c>
      <c r="D37" s="80" t="n">
        <f aca="false">K37</f>
        <v>37900912</v>
      </c>
      <c r="E37" s="80" t="n">
        <f aca="false">L37</f>
        <v>5368</v>
      </c>
      <c r="G37" s="70" t="n">
        <f aca="false">H37=A37</f>
        <v>1</v>
      </c>
      <c r="H37" s="81" t="s">
        <v>168</v>
      </c>
      <c r="I37" s="86" t="n">
        <v>37900912</v>
      </c>
      <c r="J37" s="86" t="n">
        <f aca="false">I36-I37</f>
        <v>5368</v>
      </c>
      <c r="K37" s="86" t="n">
        <v>37900912</v>
      </c>
      <c r="L37" s="86" t="n">
        <f aca="false">K36-K37</f>
        <v>5368</v>
      </c>
      <c r="N37" s="83" t="s">
        <v>168</v>
      </c>
      <c r="P37" s="72" t="n">
        <f aca="false">H37=N37</f>
        <v>1</v>
      </c>
      <c r="Q37" s="72" t="n">
        <f aca="false">C37=J37</f>
        <v>1</v>
      </c>
    </row>
    <row r="38" customFormat="false" ht="16.5" hidden="false" customHeight="true" outlineLevel="0" collapsed="false">
      <c r="A38" s="84" t="s">
        <v>172</v>
      </c>
      <c r="B38" s="80"/>
      <c r="C38" s="80" t="n">
        <f aca="false">J38</f>
        <v>1350000</v>
      </c>
      <c r="D38" s="80"/>
      <c r="E38" s="80" t="n">
        <f aca="false">L38</f>
        <v>1350000</v>
      </c>
      <c r="G38" s="70" t="n">
        <f aca="false">H38=A38</f>
        <v>1</v>
      </c>
      <c r="H38" s="85" t="s">
        <v>173</v>
      </c>
      <c r="I38" s="82"/>
      <c r="J38" s="86" t="n">
        <f aca="false">SUM(J39:J40,0)</f>
        <v>1350000</v>
      </c>
      <c r="K38" s="82"/>
      <c r="L38" s="86" t="n">
        <f aca="false">SUM(L39:L40,0)</f>
        <v>1350000</v>
      </c>
      <c r="N38" s="87" t="s">
        <v>173</v>
      </c>
      <c r="P38" s="72" t="n">
        <f aca="false">H38=N38</f>
        <v>1</v>
      </c>
      <c r="Q38" s="72" t="n">
        <f aca="false">C38=J38</f>
        <v>1</v>
      </c>
    </row>
    <row r="39" customFormat="false" ht="14.25" hidden="false" customHeight="true" outlineLevel="0" collapsed="false">
      <c r="A39" s="79" t="s">
        <v>174</v>
      </c>
      <c r="B39" s="80"/>
      <c r="C39" s="80" t="n">
        <f aca="false">J39</f>
        <v>1350000</v>
      </c>
      <c r="D39" s="80"/>
      <c r="E39" s="80" t="n">
        <f aca="false">L39</f>
        <v>1350000</v>
      </c>
      <c r="G39" s="70" t="n">
        <f aca="false">H39=A39</f>
        <v>1</v>
      </c>
      <c r="H39" s="81" t="s">
        <v>174</v>
      </c>
      <c r="I39" s="82"/>
      <c r="J39" s="86" t="n">
        <v>1350000</v>
      </c>
      <c r="K39" s="82"/>
      <c r="L39" s="86" t="n">
        <v>1350000</v>
      </c>
      <c r="N39" s="83" t="s">
        <v>174</v>
      </c>
      <c r="P39" s="72" t="n">
        <f aca="false">H39=N39</f>
        <v>1</v>
      </c>
      <c r="Q39" s="72" t="n">
        <f aca="false">C39=J39</f>
        <v>1</v>
      </c>
    </row>
    <row r="40" customFormat="false" ht="14.25" hidden="false" customHeight="true" outlineLevel="0" collapsed="false">
      <c r="A40" s="79" t="s">
        <v>175</v>
      </c>
      <c r="B40" s="80"/>
      <c r="C40" s="80" t="n">
        <f aca="false">J40</f>
        <v>0</v>
      </c>
      <c r="D40" s="80"/>
      <c r="E40" s="80" t="n">
        <f aca="false">L40</f>
        <v>0</v>
      </c>
      <c r="G40" s="70" t="n">
        <f aca="false">H40=A40</f>
        <v>1</v>
      </c>
      <c r="H40" s="81" t="s">
        <v>175</v>
      </c>
      <c r="I40" s="82"/>
      <c r="J40" s="86" t="n">
        <v>0</v>
      </c>
      <c r="K40" s="82"/>
      <c r="L40" s="86" t="n">
        <v>0</v>
      </c>
      <c r="N40" s="83" t="s">
        <v>175</v>
      </c>
      <c r="P40" s="72" t="n">
        <f aca="false">H40=N40</f>
        <v>1</v>
      </c>
      <c r="Q40" s="72" t="n">
        <f aca="false">C40=J40</f>
        <v>1</v>
      </c>
    </row>
    <row r="41" customFormat="false" ht="16.5" hidden="false" customHeight="true" outlineLevel="0" collapsed="false">
      <c r="A41" s="84" t="s">
        <v>176</v>
      </c>
      <c r="B41" s="80"/>
      <c r="C41" s="80" t="n">
        <f aca="false">J41</f>
        <v>1482352787</v>
      </c>
      <c r="D41" s="80"/>
      <c r="E41" s="80" t="n">
        <f aca="false">L41</f>
        <v>2564526779</v>
      </c>
      <c r="G41" s="70" t="n">
        <f aca="false">H41=A41</f>
        <v>1</v>
      </c>
      <c r="H41" s="85" t="s">
        <v>177</v>
      </c>
      <c r="I41" s="82"/>
      <c r="J41" s="86" t="n">
        <f aca="false">SUM(J42:J45,0)</f>
        <v>1482352787</v>
      </c>
      <c r="K41" s="82"/>
      <c r="L41" s="86" t="n">
        <f aca="false">SUM(L42:L45,0)</f>
        <v>2564526779</v>
      </c>
      <c r="N41" s="87" t="s">
        <v>177</v>
      </c>
      <c r="P41" s="72" t="n">
        <f aca="false">H41=N41</f>
        <v>1</v>
      </c>
      <c r="Q41" s="72" t="n">
        <f aca="false">C41=J41</f>
        <v>1</v>
      </c>
    </row>
    <row r="42" customFormat="false" ht="14.25" hidden="false" customHeight="true" outlineLevel="0" collapsed="false">
      <c r="A42" s="79" t="s">
        <v>178</v>
      </c>
      <c r="B42" s="80"/>
      <c r="C42" s="80" t="n">
        <f aca="false">J42</f>
        <v>25000000</v>
      </c>
      <c r="D42" s="80"/>
      <c r="E42" s="80" t="n">
        <f aca="false">L42</f>
        <v>1525000000</v>
      </c>
      <c r="G42" s="70" t="n">
        <f aca="false">H42=A42</f>
        <v>1</v>
      </c>
      <c r="H42" s="81" t="s">
        <v>178</v>
      </c>
      <c r="I42" s="82"/>
      <c r="J42" s="86" t="n">
        <v>25000000</v>
      </c>
      <c r="K42" s="82"/>
      <c r="L42" s="86" t="n">
        <v>1525000000</v>
      </c>
      <c r="N42" s="83" t="s">
        <v>178</v>
      </c>
      <c r="P42" s="72" t="n">
        <f aca="false">H42=N42</f>
        <v>1</v>
      </c>
      <c r="Q42" s="72" t="n">
        <f aca="false">C42=J42</f>
        <v>1</v>
      </c>
    </row>
    <row r="43" customFormat="false" ht="14.25" hidden="false" customHeight="true" outlineLevel="0" collapsed="false">
      <c r="A43" s="79" t="s">
        <v>179</v>
      </c>
      <c r="B43" s="80"/>
      <c r="C43" s="80" t="n">
        <f aca="false">J43</f>
        <v>421528308</v>
      </c>
      <c r="D43" s="80"/>
      <c r="E43" s="80" t="n">
        <f aca="false">L43</f>
        <v>3702300</v>
      </c>
      <c r="G43" s="70" t="n">
        <f aca="false">H43=A43</f>
        <v>1</v>
      </c>
      <c r="H43" s="81" t="s">
        <v>179</v>
      </c>
      <c r="I43" s="82"/>
      <c r="J43" s="86" t="n">
        <v>421528308</v>
      </c>
      <c r="K43" s="82"/>
      <c r="L43" s="86" t="n">
        <v>3702300</v>
      </c>
      <c r="N43" s="83" t="s">
        <v>179</v>
      </c>
      <c r="P43" s="72" t="n">
        <f aca="false">H43=N43</f>
        <v>1</v>
      </c>
      <c r="Q43" s="72" t="n">
        <f aca="false">C43=J43</f>
        <v>1</v>
      </c>
    </row>
    <row r="44" customFormat="false" ht="14.25" hidden="false" customHeight="true" outlineLevel="0" collapsed="false">
      <c r="A44" s="79" t="s">
        <v>180</v>
      </c>
      <c r="B44" s="80"/>
      <c r="C44" s="80" t="n">
        <f aca="false">J44</f>
        <v>1035824479</v>
      </c>
      <c r="D44" s="80"/>
      <c r="E44" s="80" t="n">
        <f aca="false">L44</f>
        <v>1035824479</v>
      </c>
      <c r="G44" s="70" t="n">
        <f aca="false">H44=A44</f>
        <v>1</v>
      </c>
      <c r="H44" s="81" t="s">
        <v>180</v>
      </c>
      <c r="I44" s="82"/>
      <c r="J44" s="86" t="n">
        <v>1035824479</v>
      </c>
      <c r="K44" s="82"/>
      <c r="L44" s="86" t="n">
        <v>1035824479</v>
      </c>
      <c r="N44" s="83" t="s">
        <v>180</v>
      </c>
      <c r="P44" s="72" t="n">
        <f aca="false">H44=N44</f>
        <v>1</v>
      </c>
      <c r="Q44" s="72" t="n">
        <f aca="false">C44=J44</f>
        <v>1</v>
      </c>
    </row>
    <row r="45" customFormat="false" ht="14.25" hidden="false" customHeight="true" outlineLevel="0" collapsed="false">
      <c r="A45" s="79" t="s">
        <v>181</v>
      </c>
      <c r="B45" s="80"/>
      <c r="C45" s="80" t="n">
        <f aca="false">J45</f>
        <v>0</v>
      </c>
      <c r="D45" s="80"/>
      <c r="E45" s="80" t="n">
        <f aca="false">L45</f>
        <v>0</v>
      </c>
      <c r="G45" s="70" t="n">
        <f aca="false">H45=A45</f>
        <v>1</v>
      </c>
      <c r="H45" s="81" t="s">
        <v>181</v>
      </c>
      <c r="I45" s="82"/>
      <c r="J45" s="86" t="n">
        <v>0</v>
      </c>
      <c r="K45" s="82"/>
      <c r="L45" s="86" t="n">
        <v>0</v>
      </c>
      <c r="N45" s="83" t="s">
        <v>181</v>
      </c>
      <c r="P45" s="72" t="n">
        <f aca="false">H45=N45</f>
        <v>1</v>
      </c>
      <c r="Q45" s="72" t="n">
        <f aca="false">C45=J45</f>
        <v>1</v>
      </c>
    </row>
    <row r="46" customFormat="false" ht="14.25" hidden="false" customHeight="true" outlineLevel="0" collapsed="false">
      <c r="A46" s="79" t="s">
        <v>182</v>
      </c>
      <c r="B46" s="80"/>
      <c r="C46" s="80" t="n">
        <f aca="false">J46</f>
        <v>24496820059</v>
      </c>
      <c r="D46" s="80"/>
      <c r="E46" s="80" t="n">
        <f aca="false">L46</f>
        <v>24716516599</v>
      </c>
      <c r="G46" s="70" t="n">
        <f aca="false">H46=A46</f>
        <v>1</v>
      </c>
      <c r="H46" s="81" t="s">
        <v>182</v>
      </c>
      <c r="I46" s="82"/>
      <c r="J46" s="86" t="n">
        <f aca="false">J4+J24</f>
        <v>24496820059</v>
      </c>
      <c r="K46" s="82"/>
      <c r="L46" s="86" t="n">
        <f aca="false">L4+L24</f>
        <v>24716516599</v>
      </c>
      <c r="M46" s="91"/>
      <c r="N46" s="83" t="s">
        <v>182</v>
      </c>
      <c r="P46" s="72" t="n">
        <f aca="false">H46=N46</f>
        <v>1</v>
      </c>
      <c r="Q46" s="72" t="n">
        <f aca="false">C46=J46</f>
        <v>1</v>
      </c>
    </row>
    <row r="47" customFormat="false" ht="14.25" hidden="false" customHeight="true" outlineLevel="0" collapsed="false">
      <c r="A47" s="79" t="s">
        <v>183</v>
      </c>
      <c r="B47" s="80"/>
      <c r="C47" s="80" t="n">
        <f aca="false">J47</f>
        <v>0</v>
      </c>
      <c r="D47" s="80"/>
      <c r="E47" s="80" t="n">
        <f aca="false">L47</f>
        <v>0</v>
      </c>
      <c r="G47" s="70" t="n">
        <f aca="false">H47=A47</f>
        <v>1</v>
      </c>
      <c r="H47" s="81" t="s">
        <v>183</v>
      </c>
      <c r="I47" s="82"/>
      <c r="J47" s="82"/>
      <c r="K47" s="86"/>
      <c r="L47" s="82"/>
      <c r="N47" s="83" t="s">
        <v>183</v>
      </c>
      <c r="P47" s="72" t="n">
        <f aca="false">H47=N47</f>
        <v>1</v>
      </c>
      <c r="Q47" s="72" t="n">
        <f aca="false">C47=J47</f>
        <v>1</v>
      </c>
    </row>
    <row r="48" customFormat="false" ht="16.5" hidden="false" customHeight="true" outlineLevel="0" collapsed="false">
      <c r="A48" s="84" t="s">
        <v>184</v>
      </c>
      <c r="B48" s="80"/>
      <c r="C48" s="80" t="n">
        <f aca="false">J48</f>
        <v>24430685564</v>
      </c>
      <c r="D48" s="80"/>
      <c r="E48" s="80" t="n">
        <f aca="false">L48</f>
        <v>24091033220</v>
      </c>
      <c r="G48" s="70" t="n">
        <f aca="false">H48=A48</f>
        <v>1</v>
      </c>
      <c r="H48" s="85" t="s">
        <v>185</v>
      </c>
      <c r="I48" s="82"/>
      <c r="J48" s="86" t="n">
        <f aca="false">SUM(J49:J58,0)</f>
        <v>24430685564</v>
      </c>
      <c r="K48" s="82"/>
      <c r="L48" s="86" t="n">
        <f aca="false">SUM(L49:L58,0)</f>
        <v>24091033220</v>
      </c>
      <c r="N48" s="87" t="s">
        <v>185</v>
      </c>
      <c r="P48" s="72" t="n">
        <f aca="false">H48=N48</f>
        <v>1</v>
      </c>
      <c r="Q48" s="72" t="n">
        <f aca="false">C48=J48</f>
        <v>1</v>
      </c>
    </row>
    <row r="49" customFormat="false" ht="14.25" hidden="false" customHeight="true" outlineLevel="0" collapsed="false">
      <c r="A49" s="79" t="s">
        <v>186</v>
      </c>
      <c r="B49" s="80"/>
      <c r="C49" s="80" t="n">
        <f aca="false">J49</f>
        <v>1482593003</v>
      </c>
      <c r="D49" s="80"/>
      <c r="E49" s="80" t="n">
        <f aca="false">L49</f>
        <v>2062661952</v>
      </c>
      <c r="G49" s="70" t="n">
        <f aca="false">H49=A49</f>
        <v>1</v>
      </c>
      <c r="H49" s="81" t="s">
        <v>186</v>
      </c>
      <c r="I49" s="82"/>
      <c r="J49" s="86" t="n">
        <v>1482593003</v>
      </c>
      <c r="K49" s="82"/>
      <c r="L49" s="86" t="n">
        <v>2062661952</v>
      </c>
      <c r="N49" s="83" t="s">
        <v>186</v>
      </c>
      <c r="P49" s="72" t="n">
        <f aca="false">H49=N49</f>
        <v>1</v>
      </c>
      <c r="Q49" s="72" t="n">
        <f aca="false">C49=J49</f>
        <v>1</v>
      </c>
    </row>
    <row r="50" customFormat="false" ht="14.25" hidden="false" customHeight="true" outlineLevel="0" collapsed="false">
      <c r="A50" s="79" t="s">
        <v>187</v>
      </c>
      <c r="B50" s="80"/>
      <c r="C50" s="80" t="n">
        <f aca="false">J50</f>
        <v>0</v>
      </c>
      <c r="D50" s="80"/>
      <c r="E50" s="80" t="n">
        <f aca="false">L50</f>
        <v>0</v>
      </c>
      <c r="G50" s="70" t="n">
        <f aca="false">H50=A50</f>
        <v>1</v>
      </c>
      <c r="H50" s="81" t="s">
        <v>187</v>
      </c>
      <c r="I50" s="82"/>
      <c r="K50" s="82"/>
      <c r="N50" s="83" t="s">
        <v>187</v>
      </c>
      <c r="P50" s="72" t="n">
        <f aca="false">H50=N50</f>
        <v>1</v>
      </c>
      <c r="Q50" s="72" t="n">
        <f aca="false">C50=J50</f>
        <v>1</v>
      </c>
    </row>
    <row r="51" customFormat="false" ht="14.25" hidden="false" customHeight="true" outlineLevel="0" collapsed="false">
      <c r="A51" s="79" t="s">
        <v>188</v>
      </c>
      <c r="B51" s="80"/>
      <c r="C51" s="80" t="n">
        <f aca="false">J51</f>
        <v>700000000</v>
      </c>
      <c r="D51" s="80"/>
      <c r="E51" s="80" t="n">
        <f aca="false">L51</f>
        <v>700000000</v>
      </c>
      <c r="G51" s="70" t="n">
        <f aca="false">H51=A51</f>
        <v>1</v>
      </c>
      <c r="H51" s="81" t="s">
        <v>188</v>
      </c>
      <c r="I51" s="82"/>
      <c r="J51" s="89" t="n">
        <v>700000000</v>
      </c>
      <c r="K51" s="82"/>
      <c r="L51" s="89" t="n">
        <v>700000000</v>
      </c>
      <c r="N51" s="83" t="s">
        <v>188</v>
      </c>
      <c r="P51" s="72" t="n">
        <f aca="false">H51=N51</f>
        <v>1</v>
      </c>
      <c r="Q51" s="72" t="n">
        <f aca="false">C51=J51</f>
        <v>1</v>
      </c>
    </row>
    <row r="52" customFormat="false" ht="14.25" hidden="false" customHeight="true" outlineLevel="0" collapsed="false">
      <c r="A52" s="79" t="s">
        <v>189</v>
      </c>
      <c r="B52" s="80"/>
      <c r="C52" s="80" t="n">
        <f aca="false">J52</f>
        <v>18415260</v>
      </c>
      <c r="D52" s="80"/>
      <c r="E52" s="80" t="n">
        <f aca="false">L52</f>
        <v>87400010</v>
      </c>
      <c r="G52" s="70" t="n">
        <f aca="false">H52=A52</f>
        <v>1</v>
      </c>
      <c r="H52" s="81" t="s">
        <v>189</v>
      </c>
      <c r="I52" s="82"/>
      <c r="J52" s="86" t="n">
        <v>18415260</v>
      </c>
      <c r="K52" s="82"/>
      <c r="L52" s="86" t="n">
        <v>87400010</v>
      </c>
      <c r="N52" s="83" t="s">
        <v>189</v>
      </c>
      <c r="P52" s="72" t="n">
        <f aca="false">H52=N52</f>
        <v>1</v>
      </c>
      <c r="Q52" s="72" t="n">
        <f aca="false">C52=J52</f>
        <v>1</v>
      </c>
    </row>
    <row r="53" customFormat="false" ht="14.25" hidden="false" customHeight="true" outlineLevel="0" collapsed="false">
      <c r="A53" s="79" t="s">
        <v>190</v>
      </c>
      <c r="B53" s="80"/>
      <c r="C53" s="80" t="n">
        <f aca="false">J53</f>
        <v>13369917</v>
      </c>
      <c r="D53" s="80"/>
      <c r="E53" s="80" t="n">
        <f aca="false">L53</f>
        <v>0</v>
      </c>
      <c r="G53" s="70" t="n">
        <f aca="false">H53=A53</f>
        <v>1</v>
      </c>
      <c r="H53" s="81" t="s">
        <v>190</v>
      </c>
      <c r="I53" s="82"/>
      <c r="J53" s="86" t="n">
        <v>13369917</v>
      </c>
      <c r="K53" s="82"/>
      <c r="L53" s="86" t="n">
        <v>0</v>
      </c>
      <c r="N53" s="83" t="s">
        <v>190</v>
      </c>
      <c r="P53" s="72" t="n">
        <f aca="false">H53=N53</f>
        <v>1</v>
      </c>
      <c r="Q53" s="72" t="n">
        <f aca="false">C53=J53</f>
        <v>1</v>
      </c>
    </row>
    <row r="54" customFormat="false" ht="14.25" hidden="false" customHeight="true" outlineLevel="0" collapsed="false">
      <c r="A54" s="79" t="s">
        <v>191</v>
      </c>
      <c r="B54" s="80"/>
      <c r="C54" s="80" t="n">
        <f aca="false">J54</f>
        <v>0</v>
      </c>
      <c r="D54" s="80"/>
      <c r="E54" s="80" t="n">
        <f aca="false">L54</f>
        <v>0</v>
      </c>
      <c r="G54" s="70" t="n">
        <f aca="false">H54=A54</f>
        <v>1</v>
      </c>
      <c r="H54" s="81" t="s">
        <v>191</v>
      </c>
      <c r="I54" s="82"/>
      <c r="J54" s="86" t="n">
        <v>0</v>
      </c>
      <c r="K54" s="82"/>
      <c r="L54" s="86" t="n">
        <v>0</v>
      </c>
      <c r="N54" s="83" t="s">
        <v>191</v>
      </c>
      <c r="P54" s="72" t="n">
        <f aca="false">H54=N54</f>
        <v>1</v>
      </c>
      <c r="Q54" s="72" t="n">
        <f aca="false">C54=J54</f>
        <v>1</v>
      </c>
    </row>
    <row r="55" customFormat="false" ht="14.25" hidden="false" customHeight="true" outlineLevel="0" collapsed="false">
      <c r="A55" s="79" t="s">
        <v>192</v>
      </c>
      <c r="B55" s="80"/>
      <c r="C55" s="80" t="n">
        <f aca="false">J55</f>
        <v>20363180800</v>
      </c>
      <c r="D55" s="80"/>
      <c r="E55" s="80" t="n">
        <f aca="false">L55</f>
        <v>19894576356</v>
      </c>
      <c r="G55" s="70" t="n">
        <f aca="false">H55=A55</f>
        <v>1</v>
      </c>
      <c r="H55" s="81" t="s">
        <v>192</v>
      </c>
      <c r="I55" s="82"/>
      <c r="J55" s="86" t="n">
        <v>20363180800</v>
      </c>
      <c r="K55" s="82"/>
      <c r="L55" s="86" t="n">
        <v>19894576356</v>
      </c>
      <c r="N55" s="83" t="s">
        <v>192</v>
      </c>
      <c r="P55" s="72" t="n">
        <f aca="false">H55=N55</f>
        <v>1</v>
      </c>
      <c r="Q55" s="72" t="n">
        <f aca="false">C55=J55</f>
        <v>1</v>
      </c>
    </row>
    <row r="56" customFormat="false" ht="14.25" hidden="false" customHeight="true" outlineLevel="0" collapsed="false">
      <c r="A56" s="79" t="s">
        <v>193</v>
      </c>
      <c r="B56" s="80"/>
      <c r="C56" s="80" t="n">
        <f aca="false">J56</f>
        <v>0</v>
      </c>
      <c r="D56" s="80"/>
      <c r="E56" s="80" t="n">
        <f aca="false">L56</f>
        <v>0</v>
      </c>
      <c r="G56" s="70" t="n">
        <f aca="false">H56=A56</f>
        <v>1</v>
      </c>
      <c r="H56" s="81" t="s">
        <v>193</v>
      </c>
      <c r="I56" s="82"/>
      <c r="J56" s="86" t="n">
        <v>0</v>
      </c>
      <c r="K56" s="82"/>
      <c r="L56" s="86" t="n">
        <v>0</v>
      </c>
      <c r="N56" s="83" t="s">
        <v>193</v>
      </c>
      <c r="P56" s="72" t="n">
        <f aca="false">H56=N56</f>
        <v>1</v>
      </c>
      <c r="Q56" s="72" t="n">
        <f aca="false">C56=J56</f>
        <v>1</v>
      </c>
    </row>
    <row r="57" customFormat="false" ht="14.25" hidden="false" customHeight="true" outlineLevel="0" collapsed="false">
      <c r="A57" s="79" t="s">
        <v>194</v>
      </c>
      <c r="B57" s="80"/>
      <c r="C57" s="80" t="n">
        <f aca="false">J57</f>
        <v>1853126584</v>
      </c>
      <c r="D57" s="80"/>
      <c r="E57" s="80" t="n">
        <f aca="false">L57</f>
        <v>1346394902</v>
      </c>
      <c r="G57" s="70" t="n">
        <f aca="false">H57=A57</f>
        <v>1</v>
      </c>
      <c r="H57" s="81" t="s">
        <v>194</v>
      </c>
      <c r="I57" s="82"/>
      <c r="J57" s="86" t="n">
        <v>1853126584</v>
      </c>
      <c r="K57" s="82"/>
      <c r="L57" s="86" t="n">
        <v>1346394902</v>
      </c>
      <c r="N57" s="83" t="s">
        <v>194</v>
      </c>
      <c r="P57" s="72" t="n">
        <f aca="false">H57=N57</f>
        <v>1</v>
      </c>
      <c r="Q57" s="72" t="n">
        <f aca="false">C57=J57</f>
        <v>1</v>
      </c>
    </row>
    <row r="58" customFormat="false" ht="14.25" hidden="false" customHeight="true" outlineLevel="0" collapsed="false">
      <c r="A58" s="81" t="s">
        <v>195</v>
      </c>
      <c r="B58" s="80"/>
      <c r="C58" s="80" t="n">
        <f aca="false">J58</f>
        <v>0</v>
      </c>
      <c r="D58" s="80"/>
      <c r="E58" s="80" t="n">
        <f aca="false">L58</f>
        <v>0</v>
      </c>
      <c r="G58" s="70" t="n">
        <f aca="false">H58=A58</f>
        <v>1</v>
      </c>
      <c r="H58" s="81" t="s">
        <v>195</v>
      </c>
      <c r="I58" s="82"/>
      <c r="J58" s="86"/>
      <c r="K58" s="82"/>
      <c r="L58" s="86"/>
      <c r="N58" s="81" t="s">
        <v>195</v>
      </c>
      <c r="P58" s="72" t="n">
        <f aca="false">H58=N58</f>
        <v>1</v>
      </c>
      <c r="Q58" s="72" t="n">
        <f aca="false">C58=J58</f>
        <v>1</v>
      </c>
    </row>
    <row r="59" customFormat="false" ht="16.5" hidden="false" customHeight="true" outlineLevel="0" collapsed="false">
      <c r="A59" s="84" t="s">
        <v>196</v>
      </c>
      <c r="B59" s="80"/>
      <c r="C59" s="80" t="n">
        <f aca="false">J59</f>
        <v>0</v>
      </c>
      <c r="D59" s="80"/>
      <c r="E59" s="80" t="n">
        <f aca="false">L59</f>
        <v>0</v>
      </c>
      <c r="G59" s="70" t="n">
        <f aca="false">H59=A59</f>
        <v>1</v>
      </c>
      <c r="H59" s="85" t="s">
        <v>197</v>
      </c>
      <c r="I59" s="82"/>
      <c r="J59" s="86" t="n">
        <f aca="false">J60</f>
        <v>0</v>
      </c>
      <c r="K59" s="82"/>
      <c r="L59" s="86" t="n">
        <f aca="false">L60</f>
        <v>0</v>
      </c>
      <c r="N59" s="87" t="s">
        <v>197</v>
      </c>
      <c r="P59" s="72" t="n">
        <f aca="false">H59=N59</f>
        <v>1</v>
      </c>
      <c r="Q59" s="72" t="n">
        <f aca="false">C59=J59</f>
        <v>1</v>
      </c>
    </row>
    <row r="60" customFormat="false" ht="14.25" hidden="false" customHeight="true" outlineLevel="0" collapsed="false">
      <c r="A60" s="79" t="s">
        <v>198</v>
      </c>
      <c r="B60" s="80"/>
      <c r="C60" s="80" t="n">
        <f aca="false">J60</f>
        <v>0</v>
      </c>
      <c r="D60" s="80"/>
      <c r="E60" s="80" t="n">
        <f aca="false">L60</f>
        <v>0</v>
      </c>
      <c r="G60" s="70" t="n">
        <f aca="false">H60=A60</f>
        <v>1</v>
      </c>
      <c r="H60" s="81" t="s">
        <v>198</v>
      </c>
      <c r="I60" s="82"/>
      <c r="J60" s="86"/>
      <c r="K60" s="82"/>
      <c r="L60" s="86" t="n">
        <v>0</v>
      </c>
      <c r="N60" s="83" t="s">
        <v>198</v>
      </c>
      <c r="P60" s="72" t="n">
        <f aca="false">H60=N60</f>
        <v>1</v>
      </c>
      <c r="Q60" s="72" t="n">
        <f aca="false">C60=J60</f>
        <v>1</v>
      </c>
    </row>
    <row r="61" customFormat="false" ht="14.25" hidden="false" customHeight="true" outlineLevel="0" collapsed="false">
      <c r="A61" s="79" t="s">
        <v>199</v>
      </c>
      <c r="B61" s="80"/>
      <c r="C61" s="80" t="n">
        <f aca="false">J61</f>
        <v>24430685564</v>
      </c>
      <c r="D61" s="80"/>
      <c r="E61" s="80" t="n">
        <f aca="false">L61</f>
        <v>24091033220</v>
      </c>
      <c r="G61" s="70" t="n">
        <f aca="false">H61=A61</f>
        <v>1</v>
      </c>
      <c r="H61" s="81" t="s">
        <v>199</v>
      </c>
      <c r="I61" s="82"/>
      <c r="J61" s="86" t="n">
        <f aca="false">J48+J59</f>
        <v>24430685564</v>
      </c>
      <c r="K61" s="82"/>
      <c r="L61" s="86" t="n">
        <f aca="false">L48+L59</f>
        <v>24091033220</v>
      </c>
      <c r="N61" s="83" t="s">
        <v>199</v>
      </c>
      <c r="P61" s="72" t="n">
        <f aca="false">H61=N61</f>
        <v>1</v>
      </c>
      <c r="Q61" s="72" t="n">
        <f aca="false">C61=J61</f>
        <v>1</v>
      </c>
    </row>
    <row r="62" customFormat="false" ht="14.25" hidden="false" customHeight="true" outlineLevel="0" collapsed="false">
      <c r="A62" s="79" t="s">
        <v>200</v>
      </c>
      <c r="B62" s="80"/>
      <c r="C62" s="80" t="n">
        <f aca="false">J62</f>
        <v>0</v>
      </c>
      <c r="D62" s="80"/>
      <c r="E62" s="80" t="n">
        <f aca="false">L62</f>
        <v>0</v>
      </c>
      <c r="G62" s="70" t="n">
        <f aca="false">H62=A62</f>
        <v>1</v>
      </c>
      <c r="H62" s="81" t="s">
        <v>200</v>
      </c>
      <c r="I62" s="82"/>
      <c r="J62" s="86"/>
      <c r="K62" s="86"/>
      <c r="L62" s="82"/>
      <c r="N62" s="83" t="s">
        <v>200</v>
      </c>
      <c r="P62" s="72" t="n">
        <f aca="false">H62=N62</f>
        <v>1</v>
      </c>
      <c r="Q62" s="72" t="n">
        <f aca="false">C62=J62</f>
        <v>1</v>
      </c>
    </row>
    <row r="63" customFormat="false" ht="16.5" hidden="false" customHeight="true" outlineLevel="0" collapsed="false">
      <c r="A63" s="84" t="s">
        <v>201</v>
      </c>
      <c r="B63" s="80"/>
      <c r="C63" s="80" t="n">
        <f aca="false">J63</f>
        <v>17858500000</v>
      </c>
      <c r="D63" s="80"/>
      <c r="E63" s="80" t="n">
        <f aca="false">L63</f>
        <v>17858500000</v>
      </c>
      <c r="G63" s="70" t="n">
        <f aca="false">H63=A63</f>
        <v>1</v>
      </c>
      <c r="H63" s="85" t="s">
        <v>202</v>
      </c>
      <c r="I63" s="82"/>
      <c r="J63" s="86" t="n">
        <f aca="false">J64</f>
        <v>17858500000</v>
      </c>
      <c r="K63" s="86"/>
      <c r="L63" s="86" t="n">
        <f aca="false">L64</f>
        <v>17858500000</v>
      </c>
      <c r="N63" s="87" t="s">
        <v>202</v>
      </c>
      <c r="P63" s="72" t="n">
        <f aca="false">H63=N63</f>
        <v>1</v>
      </c>
      <c r="Q63" s="72" t="n">
        <f aca="false">C63=J63</f>
        <v>1</v>
      </c>
    </row>
    <row r="64" customFormat="false" ht="14.25" hidden="false" customHeight="true" outlineLevel="0" collapsed="false">
      <c r="A64" s="79" t="s">
        <v>203</v>
      </c>
      <c r="B64" s="80"/>
      <c r="C64" s="80" t="n">
        <f aca="false">J64</f>
        <v>17858500000</v>
      </c>
      <c r="D64" s="80"/>
      <c r="E64" s="80" t="n">
        <f aca="false">L64</f>
        <v>17858500000</v>
      </c>
      <c r="G64" s="70" t="n">
        <f aca="false">H64=A64</f>
        <v>1</v>
      </c>
      <c r="H64" s="81" t="s">
        <v>203</v>
      </c>
      <c r="I64" s="82"/>
      <c r="J64" s="86" t="n">
        <v>17858500000</v>
      </c>
      <c r="K64" s="82"/>
      <c r="L64" s="86" t="n">
        <v>17858500000</v>
      </c>
      <c r="N64" s="83" t="s">
        <v>203</v>
      </c>
      <c r="P64" s="72" t="n">
        <f aca="false">H64=N64</f>
        <v>1</v>
      </c>
      <c r="Q64" s="72" t="n">
        <f aca="false">C64=J64</f>
        <v>1</v>
      </c>
    </row>
    <row r="65" customFormat="false" ht="16.5" hidden="false" customHeight="true" outlineLevel="0" collapsed="false">
      <c r="A65" s="84" t="s">
        <v>204</v>
      </c>
      <c r="B65" s="80"/>
      <c r="C65" s="80" t="n">
        <f aca="false">J65</f>
        <v>3974505593</v>
      </c>
      <c r="D65" s="80"/>
      <c r="E65" s="80" t="n">
        <f aca="false">L65</f>
        <v>3974505593</v>
      </c>
      <c r="G65" s="70" t="n">
        <f aca="false">H65=A65</f>
        <v>1</v>
      </c>
      <c r="H65" s="85" t="s">
        <v>205</v>
      </c>
      <c r="I65" s="82"/>
      <c r="J65" s="86" t="n">
        <f aca="false">J66</f>
        <v>3974505593</v>
      </c>
      <c r="K65" s="82"/>
      <c r="L65" s="86" t="n">
        <f aca="false">L66</f>
        <v>3974505593</v>
      </c>
      <c r="N65" s="87" t="s">
        <v>205</v>
      </c>
      <c r="P65" s="72" t="n">
        <f aca="false">H65=N65</f>
        <v>1</v>
      </c>
      <c r="Q65" s="72" t="n">
        <f aca="false">C65=J65</f>
        <v>1</v>
      </c>
    </row>
    <row r="66" customFormat="false" ht="14.25" hidden="false" customHeight="true" outlineLevel="0" collapsed="false">
      <c r="A66" s="83" t="s">
        <v>206</v>
      </c>
      <c r="B66" s="80"/>
      <c r="C66" s="80" t="n">
        <f aca="false">J66</f>
        <v>3974505593</v>
      </c>
      <c r="D66" s="80"/>
      <c r="E66" s="80" t="n">
        <f aca="false">L66</f>
        <v>3974505593</v>
      </c>
      <c r="G66" s="70" t="n">
        <f aca="false">H66=A66</f>
        <v>1</v>
      </c>
      <c r="H66" s="83" t="s">
        <v>206</v>
      </c>
      <c r="I66" s="82"/>
      <c r="J66" s="86" t="n">
        <v>3974505593</v>
      </c>
      <c r="K66" s="82"/>
      <c r="L66" s="86" t="n">
        <v>3974505593</v>
      </c>
      <c r="N66" s="83" t="s">
        <v>206</v>
      </c>
      <c r="P66" s="72" t="n">
        <f aca="false">H66=N66</f>
        <v>1</v>
      </c>
      <c r="Q66" s="72" t="n">
        <f aca="false">C66=J66</f>
        <v>1</v>
      </c>
    </row>
    <row r="67" customFormat="false" ht="16.5" hidden="false" customHeight="true" outlineLevel="0" collapsed="false">
      <c r="A67" s="84" t="s">
        <v>207</v>
      </c>
      <c r="B67" s="80"/>
      <c r="C67" s="80" t="n">
        <f aca="false">J67</f>
        <v>-94148240</v>
      </c>
      <c r="D67" s="80"/>
      <c r="E67" s="80" t="n">
        <f aca="false">L67</f>
        <v>-94148240</v>
      </c>
      <c r="G67" s="70" t="n">
        <f aca="false">H67=A67</f>
        <v>1</v>
      </c>
      <c r="H67" s="85" t="s">
        <v>208</v>
      </c>
      <c r="I67" s="82"/>
      <c r="J67" s="86" t="n">
        <f aca="false">J68</f>
        <v>-94148240</v>
      </c>
      <c r="K67" s="82"/>
      <c r="L67" s="86" t="n">
        <f aca="false">L68</f>
        <v>-94148240</v>
      </c>
      <c r="N67" s="87" t="s">
        <v>208</v>
      </c>
      <c r="P67" s="72" t="n">
        <f aca="false">H67=N67</f>
        <v>1</v>
      </c>
      <c r="Q67" s="72" t="n">
        <f aca="false">C67=J67</f>
        <v>1</v>
      </c>
    </row>
    <row r="68" customFormat="false" ht="14.25" hidden="false" customHeight="true" outlineLevel="0" collapsed="false">
      <c r="A68" s="83" t="s">
        <v>206</v>
      </c>
      <c r="B68" s="80"/>
      <c r="C68" s="80" t="n">
        <f aca="false">J68</f>
        <v>-94148240</v>
      </c>
      <c r="D68" s="80"/>
      <c r="E68" s="80" t="n">
        <f aca="false">L68</f>
        <v>-94148240</v>
      </c>
      <c r="G68" s="70" t="n">
        <f aca="false">H68=A68</f>
        <v>0</v>
      </c>
      <c r="H68" s="83" t="s">
        <v>209</v>
      </c>
      <c r="I68" s="82"/>
      <c r="J68" s="86" t="n">
        <v>-94148240</v>
      </c>
      <c r="K68" s="82"/>
      <c r="L68" s="86" t="n">
        <v>-94148240</v>
      </c>
      <c r="N68" s="83" t="s">
        <v>209</v>
      </c>
      <c r="P68" s="72" t="n">
        <f aca="false">H68=N68</f>
        <v>1</v>
      </c>
      <c r="Q68" s="72" t="n">
        <f aca="false">C68=J68</f>
        <v>1</v>
      </c>
    </row>
    <row r="69" customFormat="false" ht="16.5" hidden="false" customHeight="true" outlineLevel="0" collapsed="false">
      <c r="A69" s="84" t="s">
        <v>210</v>
      </c>
      <c r="B69" s="80"/>
      <c r="C69" s="80" t="n">
        <f aca="false">J69</f>
        <v>89642512</v>
      </c>
      <c r="D69" s="80"/>
      <c r="E69" s="80" t="n">
        <f aca="false">L69</f>
        <v>89642512</v>
      </c>
      <c r="G69" s="70" t="n">
        <f aca="false">H69=A69</f>
        <v>1</v>
      </c>
      <c r="H69" s="85" t="s">
        <v>211</v>
      </c>
      <c r="I69" s="82"/>
      <c r="J69" s="86" t="n">
        <f aca="false">J70</f>
        <v>89642512</v>
      </c>
      <c r="K69" s="82"/>
      <c r="L69" s="86" t="n">
        <f aca="false">L70</f>
        <v>89642512</v>
      </c>
      <c r="N69" s="87" t="s">
        <v>211</v>
      </c>
      <c r="P69" s="72" t="n">
        <f aca="false">H69=N69</f>
        <v>1</v>
      </c>
      <c r="Q69" s="72" t="n">
        <f aca="false">C69=J69</f>
        <v>1</v>
      </c>
    </row>
    <row r="70" customFormat="false" ht="14.25" hidden="false" customHeight="true" outlineLevel="0" collapsed="false">
      <c r="A70" s="83" t="s">
        <v>212</v>
      </c>
      <c r="B70" s="80"/>
      <c r="C70" s="80" t="n">
        <f aca="false">J70</f>
        <v>89642512</v>
      </c>
      <c r="D70" s="80"/>
      <c r="E70" s="80" t="n">
        <f aca="false">L70</f>
        <v>89642512</v>
      </c>
      <c r="G70" s="70" t="n">
        <f aca="false">H70=A70</f>
        <v>1</v>
      </c>
      <c r="H70" s="83" t="s">
        <v>212</v>
      </c>
      <c r="I70" s="82"/>
      <c r="J70" s="86" t="n">
        <v>89642512</v>
      </c>
      <c r="K70" s="82"/>
      <c r="L70" s="86" t="n">
        <v>89642512</v>
      </c>
      <c r="N70" s="83" t="s">
        <v>212</v>
      </c>
      <c r="P70" s="72" t="n">
        <f aca="false">H70=N70</f>
        <v>1</v>
      </c>
      <c r="Q70" s="72" t="n">
        <f aca="false">C70=J70</f>
        <v>1</v>
      </c>
    </row>
    <row r="71" customFormat="false" ht="16.5" hidden="false" customHeight="true" outlineLevel="0" collapsed="false">
      <c r="A71" s="84" t="s">
        <v>213</v>
      </c>
      <c r="B71" s="80"/>
      <c r="C71" s="80" t="n">
        <f aca="false">J71</f>
        <v>21762365370</v>
      </c>
      <c r="D71" s="80"/>
      <c r="E71" s="80" t="n">
        <f aca="false">L71</f>
        <v>21203016486</v>
      </c>
      <c r="G71" s="70" t="n">
        <f aca="false">H71=A71</f>
        <v>1</v>
      </c>
      <c r="H71" s="85" t="s">
        <v>214</v>
      </c>
      <c r="I71" s="82"/>
      <c r="J71" s="86" t="n">
        <f aca="false">J72</f>
        <v>21762365370</v>
      </c>
      <c r="K71" s="82"/>
      <c r="L71" s="86" t="n">
        <f aca="false">L72</f>
        <v>21203016486</v>
      </c>
      <c r="N71" s="87" t="s">
        <v>214</v>
      </c>
      <c r="P71" s="72" t="n">
        <f aca="false">H71=N71</f>
        <v>1</v>
      </c>
      <c r="Q71" s="72" t="n">
        <f aca="false">C71=J71</f>
        <v>1</v>
      </c>
    </row>
    <row r="72" customFormat="false" ht="14.25" hidden="false" customHeight="true" outlineLevel="0" collapsed="false">
      <c r="A72" s="79" t="s">
        <v>215</v>
      </c>
      <c r="B72" s="80"/>
      <c r="C72" s="80" t="n">
        <f aca="false">J72</f>
        <v>21762365370</v>
      </c>
      <c r="D72" s="80"/>
      <c r="E72" s="80" t="n">
        <f aca="false">L72</f>
        <v>21203016486</v>
      </c>
      <c r="G72" s="70" t="n">
        <f aca="false">H72=A72</f>
        <v>1</v>
      </c>
      <c r="H72" s="81" t="s">
        <v>215</v>
      </c>
      <c r="I72" s="82"/>
      <c r="J72" s="86" t="n">
        <f aca="false">L72+559348884</f>
        <v>21762365370</v>
      </c>
      <c r="K72" s="82"/>
      <c r="L72" s="86" t="n">
        <v>21203016486</v>
      </c>
      <c r="N72" s="81" t="s">
        <v>215</v>
      </c>
      <c r="P72" s="72" t="n">
        <f aca="false">H72=N72</f>
        <v>1</v>
      </c>
      <c r="Q72" s="72" t="n">
        <f aca="false">C72=J72</f>
        <v>1</v>
      </c>
    </row>
    <row r="73" customFormat="false" ht="16.5" hidden="false" customHeight="true" outlineLevel="0" collapsed="false">
      <c r="A73" s="84" t="s">
        <v>216</v>
      </c>
      <c r="B73" s="80"/>
      <c r="C73" s="80" t="n">
        <f aca="false">J73</f>
        <v>0</v>
      </c>
      <c r="D73" s="80"/>
      <c r="E73" s="80" t="n">
        <f aca="false">L73</f>
        <v>0</v>
      </c>
      <c r="G73" s="70" t="n">
        <f aca="false">H73=A73</f>
        <v>1</v>
      </c>
      <c r="H73" s="85" t="s">
        <v>217</v>
      </c>
      <c r="I73" s="82"/>
      <c r="J73" s="82"/>
      <c r="K73" s="82"/>
      <c r="L73" s="82"/>
      <c r="N73" s="87" t="s">
        <v>217</v>
      </c>
      <c r="P73" s="72" t="n">
        <f aca="false">H73=N73</f>
        <v>1</v>
      </c>
      <c r="Q73" s="72" t="n">
        <f aca="false">C73=J73</f>
        <v>1</v>
      </c>
    </row>
    <row r="74" customFormat="false" ht="14.25" hidden="false" customHeight="true" outlineLevel="0" collapsed="false">
      <c r="A74" s="92" t="n">
        <f aca="false">H74</f>
        <v>559348884</v>
      </c>
      <c r="B74" s="80"/>
      <c r="C74" s="80" t="n">
        <f aca="false">J74</f>
        <v>0</v>
      </c>
      <c r="D74" s="80"/>
      <c r="E74" s="80" t="n">
        <f aca="false">L74</f>
        <v>0</v>
      </c>
      <c r="G74" s="70" t="n">
        <f aca="false">H74=A74</f>
        <v>1</v>
      </c>
      <c r="H74" s="93" t="n">
        <f aca="false">-(+L71-J71)</f>
        <v>559348884</v>
      </c>
      <c r="I74" s="82"/>
      <c r="J74" s="82"/>
      <c r="K74" s="82"/>
      <c r="L74" s="82"/>
      <c r="N74" s="87"/>
      <c r="P74" s="72" t="n">
        <f aca="false">H74=N74</f>
        <v>0</v>
      </c>
      <c r="Q74" s="72" t="n">
        <f aca="false">C74=J74</f>
        <v>1</v>
      </c>
    </row>
    <row r="75" customFormat="false" ht="14.25" hidden="false" customHeight="true" outlineLevel="0" collapsed="false">
      <c r="A75" s="92" t="n">
        <f aca="false">H75</f>
        <v>14248907648</v>
      </c>
      <c r="B75" s="80"/>
      <c r="C75" s="80" t="n">
        <f aca="false">J75</f>
        <v>0</v>
      </c>
      <c r="D75" s="80"/>
      <c r="E75" s="80" t="n">
        <f aca="false">L75</f>
        <v>0</v>
      </c>
      <c r="G75" s="70" t="n">
        <f aca="false">H75=A75</f>
        <v>1</v>
      </c>
      <c r="H75" s="93" t="n">
        <v>14248907648</v>
      </c>
      <c r="I75" s="82"/>
      <c r="J75" s="82"/>
      <c r="K75" s="82"/>
      <c r="L75" s="82"/>
      <c r="N75" s="87"/>
      <c r="P75" s="72" t="n">
        <f aca="false">H75=N75</f>
        <v>0</v>
      </c>
      <c r="Q75" s="72" t="n">
        <f aca="false">C75=J75</f>
        <v>1</v>
      </c>
    </row>
    <row r="76" customFormat="false" ht="14.25" hidden="false" customHeight="true" outlineLevel="0" collapsed="false">
      <c r="A76" s="79" t="s">
        <v>218</v>
      </c>
      <c r="B76" s="80"/>
      <c r="C76" s="80" t="n">
        <f aca="false">J76</f>
        <v>66134495</v>
      </c>
      <c r="D76" s="80"/>
      <c r="E76" s="80" t="n">
        <f aca="false">L76</f>
        <v>625483379</v>
      </c>
      <c r="G76" s="70" t="n">
        <f aca="false">H76=A76</f>
        <v>1</v>
      </c>
      <c r="H76" s="81" t="s">
        <v>218</v>
      </c>
      <c r="I76" s="82"/>
      <c r="J76" s="86" t="n">
        <f aca="false">J63+J65+J69+J67-J71</f>
        <v>66134495</v>
      </c>
      <c r="K76" s="82"/>
      <c r="L76" s="86" t="n">
        <f aca="false">L63+L65+L69+L67-L71</f>
        <v>625483379</v>
      </c>
      <c r="N76" s="83" t="s">
        <v>218</v>
      </c>
      <c r="P76" s="72" t="n">
        <f aca="false">H76=N76</f>
        <v>1</v>
      </c>
      <c r="Q76" s="72" t="n">
        <f aca="false">C76=J76</f>
        <v>1</v>
      </c>
    </row>
    <row r="77" customFormat="false" ht="14.25" hidden="false" customHeight="true" outlineLevel="0" collapsed="false">
      <c r="A77" s="79" t="s">
        <v>219</v>
      </c>
      <c r="B77" s="80"/>
      <c r="C77" s="80" t="n">
        <f aca="false">J77</f>
        <v>24496820059</v>
      </c>
      <c r="D77" s="80"/>
      <c r="E77" s="80" t="n">
        <f aca="false">L77</f>
        <v>24716516599</v>
      </c>
      <c r="G77" s="70" t="n">
        <f aca="false">H77=A77</f>
        <v>1</v>
      </c>
      <c r="H77" s="81" t="s">
        <v>219</v>
      </c>
      <c r="I77" s="82"/>
      <c r="J77" s="86" t="n">
        <f aca="false">J76+J61</f>
        <v>24496820059</v>
      </c>
      <c r="K77" s="86"/>
      <c r="L77" s="86" t="n">
        <f aca="false">L76+L61</f>
        <v>24716516599</v>
      </c>
      <c r="M77" s="91"/>
      <c r="N77" s="83" t="s">
        <v>219</v>
      </c>
      <c r="P77" s="72" t="n">
        <f aca="false">H77=N77</f>
        <v>1</v>
      </c>
      <c r="Q77" s="72" t="n">
        <f aca="false">C77=J77</f>
        <v>1</v>
      </c>
    </row>
    <row r="78" customFormat="false" ht="14.25" hidden="false" customHeight="true" outlineLevel="0" collapsed="false">
      <c r="H78" s="94"/>
      <c r="I78" s="95"/>
      <c r="J78" s="96"/>
      <c r="K78" s="95"/>
      <c r="L78" s="96"/>
    </row>
    <row r="80" customFormat="false" ht="14.25" hidden="false" customHeight="true" outlineLevel="0" collapsed="false">
      <c r="J80" s="97" t="b">
        <f aca="false">+J77=J46</f>
        <v>1</v>
      </c>
      <c r="L80" s="97" t="b">
        <f aca="false">+L77=L46</f>
        <v>1</v>
      </c>
    </row>
  </sheetData>
  <mergeCells count="10">
    <mergeCell ref="A1:A2"/>
    <mergeCell ref="B1:C1"/>
    <mergeCell ref="D1:E1"/>
    <mergeCell ref="H1:H2"/>
    <mergeCell ref="I1:J1"/>
    <mergeCell ref="K1:L1"/>
    <mergeCell ref="B2:C2"/>
    <mergeCell ref="D2:E2"/>
    <mergeCell ref="I2:J2"/>
    <mergeCell ref="K2:L2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IU6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U18" activeCellId="0" sqref="U18"/>
    </sheetView>
  </sheetViews>
  <sheetFormatPr defaultColWidth="9" defaultRowHeight="14.25" zeroHeight="false" outlineLevelRow="0" outlineLevelCol="0"/>
  <cols>
    <col collapsed="false" customWidth="true" hidden="false" outlineLevel="0" max="1" min="1" style="98" width="1.6"/>
    <col collapsed="false" customWidth="true" hidden="false" outlineLevel="0" max="2" min="2" style="98" width="18.1"/>
    <col collapsed="false" customWidth="true" hidden="false" outlineLevel="0" max="3" min="3" style="99" width="13.5"/>
    <col collapsed="false" customWidth="true" hidden="false" outlineLevel="0" max="4" min="4" style="100" width="13.5"/>
    <col collapsed="false" customWidth="true" hidden="true" outlineLevel="0" max="5" min="5" style="99" width="10"/>
    <col collapsed="false" customWidth="true" hidden="true" outlineLevel="0" max="6" min="6" style="100" width="10"/>
    <col collapsed="false" customWidth="true" hidden="false" outlineLevel="0" max="7" min="7" style="99" width="13.5"/>
    <col collapsed="false" customWidth="true" hidden="false" outlineLevel="0" max="9" min="8" style="100" width="13.5"/>
    <col collapsed="false" customWidth="true" hidden="true" outlineLevel="0" max="10" min="10" style="100" width="12.7"/>
    <col collapsed="false" customWidth="true" hidden="false" outlineLevel="0" max="11" min="11" style="101" width="14.6"/>
    <col collapsed="false" customWidth="true" hidden="false" outlineLevel="0" max="12" min="12" style="101" width="13.1"/>
    <col collapsed="false" customWidth="true" hidden="false" outlineLevel="0" max="14" min="13" style="101" width="13.4"/>
    <col collapsed="false" customWidth="true" hidden="false" outlineLevel="0" max="16" min="15" style="101" width="13.1"/>
    <col collapsed="false" customWidth="true" hidden="true" outlineLevel="0" max="18" min="17" style="101" width="9.7"/>
    <col collapsed="false" customWidth="true" hidden="false" outlineLevel="0" max="20" min="19" style="101" width="13.1"/>
    <col collapsed="false" customWidth="true" hidden="false" outlineLevel="0" max="21" min="21" style="98" width="15.4"/>
    <col collapsed="false" customWidth="true" hidden="true" outlineLevel="0" max="22" min="22" style="98" width="12.7"/>
    <col collapsed="false" customWidth="true" hidden="false" outlineLevel="0" max="23" min="23" style="98" width="1.6"/>
    <col collapsed="false" customWidth="true" hidden="false" outlineLevel="0" max="24" min="24" style="98" width="4.6"/>
    <col collapsed="false" customWidth="true" hidden="false" outlineLevel="0" max="25" min="25" style="98" width="13.4"/>
    <col collapsed="false" customWidth="true" hidden="false" outlineLevel="0" max="26" min="26" style="98" width="12.6"/>
    <col collapsed="false" customWidth="true" hidden="false" outlineLevel="0" max="27" min="27" style="98" width="10.5"/>
    <col collapsed="false" customWidth="true" hidden="false" outlineLevel="0" max="28" min="28" style="98" width="14.9"/>
    <col collapsed="false" customWidth="true" hidden="false" outlineLevel="0" max="30" min="29" style="98" width="13.1"/>
    <col collapsed="false" customWidth="false" hidden="false" outlineLevel="0" max="255" min="31" style="98" width="9"/>
    <col collapsed="false" customWidth="true" hidden="false" outlineLevel="0" max="257" min="256" style="98" width="1.6"/>
    <col collapsed="false" customWidth="true" hidden="false" outlineLevel="0" max="258" min="258" style="98" width="13.6"/>
    <col collapsed="false" customWidth="true" hidden="false" outlineLevel="0" max="259" min="259" style="98" width="8.5"/>
    <col collapsed="false" customWidth="true" hidden="false" outlineLevel="0" max="260" min="260" style="98" width="8.1"/>
    <col collapsed="false" customWidth="true" hidden="false" outlineLevel="0" max="261" min="261" style="98" width="8.5"/>
    <col collapsed="false" customWidth="true" hidden="false" outlineLevel="0" max="262" min="262" style="98" width="8.1"/>
    <col collapsed="false" customWidth="true" hidden="false" outlineLevel="0" max="263" min="263" style="98" width="8.5"/>
    <col collapsed="false" customWidth="true" hidden="false" outlineLevel="0" max="266" min="264" style="98" width="8.1"/>
    <col collapsed="false" customWidth="true" hidden="false" outlineLevel="0" max="267" min="267" style="98" width="8.5"/>
    <col collapsed="false" customWidth="true" hidden="false" outlineLevel="0" max="268" min="268" style="98" width="8.1"/>
    <col collapsed="false" customWidth="true" hidden="false" outlineLevel="0" max="269" min="269" style="98" width="8.5"/>
    <col collapsed="false" customWidth="true" hidden="false" outlineLevel="0" max="270" min="270" style="98" width="8.1"/>
    <col collapsed="false" customWidth="true" hidden="false" outlineLevel="0" max="271" min="271" style="98" width="8.5"/>
    <col collapsed="false" customWidth="true" hidden="false" outlineLevel="0" max="272" min="272" style="98" width="8.1"/>
    <col collapsed="false" customWidth="true" hidden="false" outlineLevel="0" max="273" min="273" style="98" width="8.5"/>
    <col collapsed="false" customWidth="true" hidden="false" outlineLevel="0" max="274" min="274" style="98" width="8.1"/>
    <col collapsed="false" customWidth="true" hidden="false" outlineLevel="0" max="275" min="275" style="98" width="8.5"/>
    <col collapsed="false" customWidth="true" hidden="false" outlineLevel="0" max="278" min="276" style="98" width="8.1"/>
    <col collapsed="false" customWidth="false" hidden="false" outlineLevel="0" max="511" min="279" style="98" width="9"/>
    <col collapsed="false" customWidth="true" hidden="false" outlineLevel="0" max="513" min="512" style="98" width="1.6"/>
    <col collapsed="false" customWidth="true" hidden="false" outlineLevel="0" max="514" min="514" style="98" width="13.6"/>
    <col collapsed="false" customWidth="true" hidden="false" outlineLevel="0" max="515" min="515" style="98" width="8.5"/>
    <col collapsed="false" customWidth="true" hidden="false" outlineLevel="0" max="516" min="516" style="98" width="8.1"/>
    <col collapsed="false" customWidth="true" hidden="false" outlineLevel="0" max="517" min="517" style="98" width="8.5"/>
    <col collapsed="false" customWidth="true" hidden="false" outlineLevel="0" max="518" min="518" style="98" width="8.1"/>
    <col collapsed="false" customWidth="true" hidden="false" outlineLevel="0" max="519" min="519" style="98" width="8.5"/>
    <col collapsed="false" customWidth="true" hidden="false" outlineLevel="0" max="522" min="520" style="98" width="8.1"/>
    <col collapsed="false" customWidth="true" hidden="false" outlineLevel="0" max="523" min="523" style="98" width="8.5"/>
    <col collapsed="false" customWidth="true" hidden="false" outlineLevel="0" max="524" min="524" style="98" width="8.1"/>
    <col collapsed="false" customWidth="true" hidden="false" outlineLevel="0" max="525" min="525" style="98" width="8.5"/>
    <col collapsed="false" customWidth="true" hidden="false" outlineLevel="0" max="526" min="526" style="98" width="8.1"/>
    <col collapsed="false" customWidth="true" hidden="false" outlineLevel="0" max="527" min="527" style="98" width="8.5"/>
    <col collapsed="false" customWidth="true" hidden="false" outlineLevel="0" max="528" min="528" style="98" width="8.1"/>
    <col collapsed="false" customWidth="true" hidden="false" outlineLevel="0" max="529" min="529" style="98" width="8.5"/>
    <col collapsed="false" customWidth="true" hidden="false" outlineLevel="0" max="530" min="530" style="98" width="8.1"/>
    <col collapsed="false" customWidth="true" hidden="false" outlineLevel="0" max="531" min="531" style="98" width="8.5"/>
    <col collapsed="false" customWidth="true" hidden="false" outlineLevel="0" max="534" min="532" style="98" width="8.1"/>
    <col collapsed="false" customWidth="false" hidden="false" outlineLevel="0" max="767" min="535" style="98" width="9"/>
    <col collapsed="false" customWidth="true" hidden="false" outlineLevel="0" max="769" min="768" style="98" width="1.6"/>
    <col collapsed="false" customWidth="true" hidden="false" outlineLevel="0" max="770" min="770" style="98" width="13.6"/>
    <col collapsed="false" customWidth="true" hidden="false" outlineLevel="0" max="771" min="771" style="98" width="8.5"/>
    <col collapsed="false" customWidth="true" hidden="false" outlineLevel="0" max="772" min="772" style="98" width="8.1"/>
    <col collapsed="false" customWidth="true" hidden="false" outlineLevel="0" max="773" min="773" style="98" width="8.5"/>
    <col collapsed="false" customWidth="true" hidden="false" outlineLevel="0" max="774" min="774" style="98" width="8.1"/>
    <col collapsed="false" customWidth="true" hidden="false" outlineLevel="0" max="775" min="775" style="98" width="8.5"/>
    <col collapsed="false" customWidth="true" hidden="false" outlineLevel="0" max="778" min="776" style="98" width="8.1"/>
    <col collapsed="false" customWidth="true" hidden="false" outlineLevel="0" max="779" min="779" style="98" width="8.5"/>
    <col collapsed="false" customWidth="true" hidden="false" outlineLevel="0" max="780" min="780" style="98" width="8.1"/>
    <col collapsed="false" customWidth="true" hidden="false" outlineLevel="0" max="781" min="781" style="98" width="8.5"/>
    <col collapsed="false" customWidth="true" hidden="false" outlineLevel="0" max="782" min="782" style="98" width="8.1"/>
    <col collapsed="false" customWidth="true" hidden="false" outlineLevel="0" max="783" min="783" style="98" width="8.5"/>
    <col collapsed="false" customWidth="true" hidden="false" outlineLevel="0" max="784" min="784" style="98" width="8.1"/>
    <col collapsed="false" customWidth="true" hidden="false" outlineLevel="0" max="785" min="785" style="98" width="8.5"/>
    <col collapsed="false" customWidth="true" hidden="false" outlineLevel="0" max="786" min="786" style="98" width="8.1"/>
    <col collapsed="false" customWidth="true" hidden="false" outlineLevel="0" max="787" min="787" style="98" width="8.5"/>
    <col collapsed="false" customWidth="true" hidden="false" outlineLevel="0" max="790" min="788" style="98" width="8.1"/>
    <col collapsed="false" customWidth="false" hidden="false" outlineLevel="0" max="1023" min="791" style="98" width="9"/>
    <col collapsed="false" customWidth="true" hidden="false" outlineLevel="0" max="1025" min="1024" style="98" width="1.6"/>
    <col collapsed="false" customWidth="true" hidden="false" outlineLevel="0" max="1026" min="1026" style="98" width="13.6"/>
    <col collapsed="false" customWidth="true" hidden="false" outlineLevel="0" max="1027" min="1027" style="98" width="8.5"/>
    <col collapsed="false" customWidth="true" hidden="false" outlineLevel="0" max="1028" min="1028" style="98" width="8.1"/>
    <col collapsed="false" customWidth="true" hidden="false" outlineLevel="0" max="1029" min="1029" style="98" width="8.5"/>
    <col collapsed="false" customWidth="true" hidden="false" outlineLevel="0" max="1030" min="1030" style="98" width="8.1"/>
    <col collapsed="false" customWidth="true" hidden="false" outlineLevel="0" max="1031" min="1031" style="98" width="8.5"/>
    <col collapsed="false" customWidth="true" hidden="false" outlineLevel="0" max="1034" min="1032" style="98" width="8.1"/>
    <col collapsed="false" customWidth="true" hidden="false" outlineLevel="0" max="1035" min="1035" style="98" width="8.5"/>
    <col collapsed="false" customWidth="true" hidden="false" outlineLevel="0" max="1036" min="1036" style="98" width="8.1"/>
    <col collapsed="false" customWidth="true" hidden="false" outlineLevel="0" max="1037" min="1037" style="98" width="8.5"/>
    <col collapsed="false" customWidth="true" hidden="false" outlineLevel="0" max="1038" min="1038" style="98" width="8.1"/>
    <col collapsed="false" customWidth="true" hidden="false" outlineLevel="0" max="1039" min="1039" style="98" width="8.5"/>
    <col collapsed="false" customWidth="true" hidden="false" outlineLevel="0" max="1040" min="1040" style="98" width="8.1"/>
    <col collapsed="false" customWidth="true" hidden="false" outlineLevel="0" max="1041" min="1041" style="98" width="8.5"/>
    <col collapsed="false" customWidth="true" hidden="false" outlineLevel="0" max="1042" min="1042" style="98" width="8.1"/>
    <col collapsed="false" customWidth="true" hidden="false" outlineLevel="0" max="1043" min="1043" style="98" width="8.5"/>
    <col collapsed="false" customWidth="true" hidden="false" outlineLevel="0" max="1046" min="1044" style="98" width="8.1"/>
    <col collapsed="false" customWidth="false" hidden="false" outlineLevel="0" max="1279" min="1047" style="98" width="9"/>
    <col collapsed="false" customWidth="true" hidden="false" outlineLevel="0" max="1281" min="1280" style="98" width="1.6"/>
    <col collapsed="false" customWidth="true" hidden="false" outlineLevel="0" max="1282" min="1282" style="98" width="13.6"/>
    <col collapsed="false" customWidth="true" hidden="false" outlineLevel="0" max="1283" min="1283" style="98" width="8.5"/>
    <col collapsed="false" customWidth="true" hidden="false" outlineLevel="0" max="1284" min="1284" style="98" width="8.1"/>
    <col collapsed="false" customWidth="true" hidden="false" outlineLevel="0" max="1285" min="1285" style="98" width="8.5"/>
    <col collapsed="false" customWidth="true" hidden="false" outlineLevel="0" max="1286" min="1286" style="98" width="8.1"/>
    <col collapsed="false" customWidth="true" hidden="false" outlineLevel="0" max="1287" min="1287" style="98" width="8.5"/>
    <col collapsed="false" customWidth="true" hidden="false" outlineLevel="0" max="1290" min="1288" style="98" width="8.1"/>
    <col collapsed="false" customWidth="true" hidden="false" outlineLevel="0" max="1291" min="1291" style="98" width="8.5"/>
    <col collapsed="false" customWidth="true" hidden="false" outlineLevel="0" max="1292" min="1292" style="98" width="8.1"/>
    <col collapsed="false" customWidth="true" hidden="false" outlineLevel="0" max="1293" min="1293" style="98" width="8.5"/>
    <col collapsed="false" customWidth="true" hidden="false" outlineLevel="0" max="1294" min="1294" style="98" width="8.1"/>
    <col collapsed="false" customWidth="true" hidden="false" outlineLevel="0" max="1295" min="1295" style="98" width="8.5"/>
    <col collapsed="false" customWidth="true" hidden="false" outlineLevel="0" max="1296" min="1296" style="98" width="8.1"/>
    <col collapsed="false" customWidth="true" hidden="false" outlineLevel="0" max="1297" min="1297" style="98" width="8.5"/>
    <col collapsed="false" customWidth="true" hidden="false" outlineLevel="0" max="1298" min="1298" style="98" width="8.1"/>
    <col collapsed="false" customWidth="true" hidden="false" outlineLevel="0" max="1299" min="1299" style="98" width="8.5"/>
    <col collapsed="false" customWidth="true" hidden="false" outlineLevel="0" max="1302" min="1300" style="98" width="8.1"/>
    <col collapsed="false" customWidth="false" hidden="false" outlineLevel="0" max="1535" min="1303" style="98" width="9"/>
    <col collapsed="false" customWidth="true" hidden="false" outlineLevel="0" max="1537" min="1536" style="98" width="1.6"/>
    <col collapsed="false" customWidth="true" hidden="false" outlineLevel="0" max="1538" min="1538" style="98" width="13.6"/>
    <col collapsed="false" customWidth="true" hidden="false" outlineLevel="0" max="1539" min="1539" style="98" width="8.5"/>
    <col collapsed="false" customWidth="true" hidden="false" outlineLevel="0" max="1540" min="1540" style="98" width="8.1"/>
    <col collapsed="false" customWidth="true" hidden="false" outlineLevel="0" max="1541" min="1541" style="98" width="8.5"/>
    <col collapsed="false" customWidth="true" hidden="false" outlineLevel="0" max="1542" min="1542" style="98" width="8.1"/>
    <col collapsed="false" customWidth="true" hidden="false" outlineLevel="0" max="1543" min="1543" style="98" width="8.5"/>
    <col collapsed="false" customWidth="true" hidden="false" outlineLevel="0" max="1546" min="1544" style="98" width="8.1"/>
    <col collapsed="false" customWidth="true" hidden="false" outlineLevel="0" max="1547" min="1547" style="98" width="8.5"/>
    <col collapsed="false" customWidth="true" hidden="false" outlineLevel="0" max="1548" min="1548" style="98" width="8.1"/>
    <col collapsed="false" customWidth="true" hidden="false" outlineLevel="0" max="1549" min="1549" style="98" width="8.5"/>
    <col collapsed="false" customWidth="true" hidden="false" outlineLevel="0" max="1550" min="1550" style="98" width="8.1"/>
    <col collapsed="false" customWidth="true" hidden="false" outlineLevel="0" max="1551" min="1551" style="98" width="8.5"/>
    <col collapsed="false" customWidth="true" hidden="false" outlineLevel="0" max="1552" min="1552" style="98" width="8.1"/>
    <col collapsed="false" customWidth="true" hidden="false" outlineLevel="0" max="1553" min="1553" style="98" width="8.5"/>
    <col collapsed="false" customWidth="true" hidden="false" outlineLevel="0" max="1554" min="1554" style="98" width="8.1"/>
    <col collapsed="false" customWidth="true" hidden="false" outlineLevel="0" max="1555" min="1555" style="98" width="8.5"/>
    <col collapsed="false" customWidth="true" hidden="false" outlineLevel="0" max="1558" min="1556" style="98" width="8.1"/>
    <col collapsed="false" customWidth="false" hidden="false" outlineLevel="0" max="1791" min="1559" style="98" width="9"/>
    <col collapsed="false" customWidth="true" hidden="false" outlineLevel="0" max="1793" min="1792" style="98" width="1.6"/>
    <col collapsed="false" customWidth="true" hidden="false" outlineLevel="0" max="1794" min="1794" style="98" width="13.6"/>
    <col collapsed="false" customWidth="true" hidden="false" outlineLevel="0" max="1795" min="1795" style="98" width="8.5"/>
    <col collapsed="false" customWidth="true" hidden="false" outlineLevel="0" max="1796" min="1796" style="98" width="8.1"/>
    <col collapsed="false" customWidth="true" hidden="false" outlineLevel="0" max="1797" min="1797" style="98" width="8.5"/>
    <col collapsed="false" customWidth="true" hidden="false" outlineLevel="0" max="1798" min="1798" style="98" width="8.1"/>
    <col collapsed="false" customWidth="true" hidden="false" outlineLevel="0" max="1799" min="1799" style="98" width="8.5"/>
    <col collapsed="false" customWidth="true" hidden="false" outlineLevel="0" max="1802" min="1800" style="98" width="8.1"/>
    <col collapsed="false" customWidth="true" hidden="false" outlineLevel="0" max="1803" min="1803" style="98" width="8.5"/>
    <col collapsed="false" customWidth="true" hidden="false" outlineLevel="0" max="1804" min="1804" style="98" width="8.1"/>
    <col collapsed="false" customWidth="true" hidden="false" outlineLevel="0" max="1805" min="1805" style="98" width="8.5"/>
    <col collapsed="false" customWidth="true" hidden="false" outlineLevel="0" max="1806" min="1806" style="98" width="8.1"/>
    <col collapsed="false" customWidth="true" hidden="false" outlineLevel="0" max="1807" min="1807" style="98" width="8.5"/>
    <col collapsed="false" customWidth="true" hidden="false" outlineLevel="0" max="1808" min="1808" style="98" width="8.1"/>
    <col collapsed="false" customWidth="true" hidden="false" outlineLevel="0" max="1809" min="1809" style="98" width="8.5"/>
    <col collapsed="false" customWidth="true" hidden="false" outlineLevel="0" max="1810" min="1810" style="98" width="8.1"/>
    <col collapsed="false" customWidth="true" hidden="false" outlineLevel="0" max="1811" min="1811" style="98" width="8.5"/>
    <col collapsed="false" customWidth="true" hidden="false" outlineLevel="0" max="1814" min="1812" style="98" width="8.1"/>
    <col collapsed="false" customWidth="false" hidden="false" outlineLevel="0" max="2047" min="1815" style="98" width="9"/>
    <col collapsed="false" customWidth="true" hidden="false" outlineLevel="0" max="2049" min="2048" style="98" width="1.6"/>
    <col collapsed="false" customWidth="true" hidden="false" outlineLevel="0" max="2050" min="2050" style="98" width="13.6"/>
    <col collapsed="false" customWidth="true" hidden="false" outlineLevel="0" max="2051" min="2051" style="98" width="8.5"/>
    <col collapsed="false" customWidth="true" hidden="false" outlineLevel="0" max="2052" min="2052" style="98" width="8.1"/>
    <col collapsed="false" customWidth="true" hidden="false" outlineLevel="0" max="2053" min="2053" style="98" width="8.5"/>
    <col collapsed="false" customWidth="true" hidden="false" outlineLevel="0" max="2054" min="2054" style="98" width="8.1"/>
    <col collapsed="false" customWidth="true" hidden="false" outlineLevel="0" max="2055" min="2055" style="98" width="8.5"/>
    <col collapsed="false" customWidth="true" hidden="false" outlineLevel="0" max="2058" min="2056" style="98" width="8.1"/>
    <col collapsed="false" customWidth="true" hidden="false" outlineLevel="0" max="2059" min="2059" style="98" width="8.5"/>
    <col collapsed="false" customWidth="true" hidden="false" outlineLevel="0" max="2060" min="2060" style="98" width="8.1"/>
    <col collapsed="false" customWidth="true" hidden="false" outlineLevel="0" max="2061" min="2061" style="98" width="8.5"/>
    <col collapsed="false" customWidth="true" hidden="false" outlineLevel="0" max="2062" min="2062" style="98" width="8.1"/>
    <col collapsed="false" customWidth="true" hidden="false" outlineLevel="0" max="2063" min="2063" style="98" width="8.5"/>
    <col collapsed="false" customWidth="true" hidden="false" outlineLevel="0" max="2064" min="2064" style="98" width="8.1"/>
    <col collapsed="false" customWidth="true" hidden="false" outlineLevel="0" max="2065" min="2065" style="98" width="8.5"/>
    <col collapsed="false" customWidth="true" hidden="false" outlineLevel="0" max="2066" min="2066" style="98" width="8.1"/>
    <col collapsed="false" customWidth="true" hidden="false" outlineLevel="0" max="2067" min="2067" style="98" width="8.5"/>
    <col collapsed="false" customWidth="true" hidden="false" outlineLevel="0" max="2070" min="2068" style="98" width="8.1"/>
    <col collapsed="false" customWidth="false" hidden="false" outlineLevel="0" max="2303" min="2071" style="98" width="9"/>
    <col collapsed="false" customWidth="true" hidden="false" outlineLevel="0" max="2305" min="2304" style="98" width="1.6"/>
    <col collapsed="false" customWidth="true" hidden="false" outlineLevel="0" max="2306" min="2306" style="98" width="13.6"/>
    <col collapsed="false" customWidth="true" hidden="false" outlineLevel="0" max="2307" min="2307" style="98" width="8.5"/>
    <col collapsed="false" customWidth="true" hidden="false" outlineLevel="0" max="2308" min="2308" style="98" width="8.1"/>
    <col collapsed="false" customWidth="true" hidden="false" outlineLevel="0" max="2309" min="2309" style="98" width="8.5"/>
    <col collapsed="false" customWidth="true" hidden="false" outlineLevel="0" max="2310" min="2310" style="98" width="8.1"/>
    <col collapsed="false" customWidth="true" hidden="false" outlineLevel="0" max="2311" min="2311" style="98" width="8.5"/>
    <col collapsed="false" customWidth="true" hidden="false" outlineLevel="0" max="2314" min="2312" style="98" width="8.1"/>
    <col collapsed="false" customWidth="true" hidden="false" outlineLevel="0" max="2315" min="2315" style="98" width="8.5"/>
    <col collapsed="false" customWidth="true" hidden="false" outlineLevel="0" max="2316" min="2316" style="98" width="8.1"/>
    <col collapsed="false" customWidth="true" hidden="false" outlineLevel="0" max="2317" min="2317" style="98" width="8.5"/>
    <col collapsed="false" customWidth="true" hidden="false" outlineLevel="0" max="2318" min="2318" style="98" width="8.1"/>
    <col collapsed="false" customWidth="true" hidden="false" outlineLevel="0" max="2319" min="2319" style="98" width="8.5"/>
    <col collapsed="false" customWidth="true" hidden="false" outlineLevel="0" max="2320" min="2320" style="98" width="8.1"/>
    <col collapsed="false" customWidth="true" hidden="false" outlineLevel="0" max="2321" min="2321" style="98" width="8.5"/>
    <col collapsed="false" customWidth="true" hidden="false" outlineLevel="0" max="2322" min="2322" style="98" width="8.1"/>
    <col collapsed="false" customWidth="true" hidden="false" outlineLevel="0" max="2323" min="2323" style="98" width="8.5"/>
    <col collapsed="false" customWidth="true" hidden="false" outlineLevel="0" max="2326" min="2324" style="98" width="8.1"/>
    <col collapsed="false" customWidth="false" hidden="false" outlineLevel="0" max="2559" min="2327" style="98" width="9"/>
    <col collapsed="false" customWidth="true" hidden="false" outlineLevel="0" max="2561" min="2560" style="98" width="1.6"/>
    <col collapsed="false" customWidth="true" hidden="false" outlineLevel="0" max="2562" min="2562" style="98" width="13.6"/>
    <col collapsed="false" customWidth="true" hidden="false" outlineLevel="0" max="2563" min="2563" style="98" width="8.5"/>
    <col collapsed="false" customWidth="true" hidden="false" outlineLevel="0" max="2564" min="2564" style="98" width="8.1"/>
    <col collapsed="false" customWidth="true" hidden="false" outlineLevel="0" max="2565" min="2565" style="98" width="8.5"/>
    <col collapsed="false" customWidth="true" hidden="false" outlineLevel="0" max="2566" min="2566" style="98" width="8.1"/>
    <col collapsed="false" customWidth="true" hidden="false" outlineLevel="0" max="2567" min="2567" style="98" width="8.5"/>
    <col collapsed="false" customWidth="true" hidden="false" outlineLevel="0" max="2570" min="2568" style="98" width="8.1"/>
    <col collapsed="false" customWidth="true" hidden="false" outlineLevel="0" max="2571" min="2571" style="98" width="8.5"/>
    <col collapsed="false" customWidth="true" hidden="false" outlineLevel="0" max="2572" min="2572" style="98" width="8.1"/>
    <col collapsed="false" customWidth="true" hidden="false" outlineLevel="0" max="2573" min="2573" style="98" width="8.5"/>
    <col collapsed="false" customWidth="true" hidden="false" outlineLevel="0" max="2574" min="2574" style="98" width="8.1"/>
    <col collapsed="false" customWidth="true" hidden="false" outlineLevel="0" max="2575" min="2575" style="98" width="8.5"/>
    <col collapsed="false" customWidth="true" hidden="false" outlineLevel="0" max="2576" min="2576" style="98" width="8.1"/>
    <col collapsed="false" customWidth="true" hidden="false" outlineLevel="0" max="2577" min="2577" style="98" width="8.5"/>
    <col collapsed="false" customWidth="true" hidden="false" outlineLevel="0" max="2578" min="2578" style="98" width="8.1"/>
    <col collapsed="false" customWidth="true" hidden="false" outlineLevel="0" max="2579" min="2579" style="98" width="8.5"/>
    <col collapsed="false" customWidth="true" hidden="false" outlineLevel="0" max="2582" min="2580" style="98" width="8.1"/>
    <col collapsed="false" customWidth="false" hidden="false" outlineLevel="0" max="2815" min="2583" style="98" width="9"/>
    <col collapsed="false" customWidth="true" hidden="false" outlineLevel="0" max="2817" min="2816" style="98" width="1.6"/>
    <col collapsed="false" customWidth="true" hidden="false" outlineLevel="0" max="2818" min="2818" style="98" width="13.6"/>
    <col collapsed="false" customWidth="true" hidden="false" outlineLevel="0" max="2819" min="2819" style="98" width="8.5"/>
    <col collapsed="false" customWidth="true" hidden="false" outlineLevel="0" max="2820" min="2820" style="98" width="8.1"/>
    <col collapsed="false" customWidth="true" hidden="false" outlineLevel="0" max="2821" min="2821" style="98" width="8.5"/>
    <col collapsed="false" customWidth="true" hidden="false" outlineLevel="0" max="2822" min="2822" style="98" width="8.1"/>
    <col collapsed="false" customWidth="true" hidden="false" outlineLevel="0" max="2823" min="2823" style="98" width="8.5"/>
    <col collapsed="false" customWidth="true" hidden="false" outlineLevel="0" max="2826" min="2824" style="98" width="8.1"/>
    <col collapsed="false" customWidth="true" hidden="false" outlineLevel="0" max="2827" min="2827" style="98" width="8.5"/>
    <col collapsed="false" customWidth="true" hidden="false" outlineLevel="0" max="2828" min="2828" style="98" width="8.1"/>
    <col collapsed="false" customWidth="true" hidden="false" outlineLevel="0" max="2829" min="2829" style="98" width="8.5"/>
    <col collapsed="false" customWidth="true" hidden="false" outlineLevel="0" max="2830" min="2830" style="98" width="8.1"/>
    <col collapsed="false" customWidth="true" hidden="false" outlineLevel="0" max="2831" min="2831" style="98" width="8.5"/>
    <col collapsed="false" customWidth="true" hidden="false" outlineLevel="0" max="2832" min="2832" style="98" width="8.1"/>
    <col collapsed="false" customWidth="true" hidden="false" outlineLevel="0" max="2833" min="2833" style="98" width="8.5"/>
    <col collapsed="false" customWidth="true" hidden="false" outlineLevel="0" max="2834" min="2834" style="98" width="8.1"/>
    <col collapsed="false" customWidth="true" hidden="false" outlineLevel="0" max="2835" min="2835" style="98" width="8.5"/>
    <col collapsed="false" customWidth="true" hidden="false" outlineLevel="0" max="2838" min="2836" style="98" width="8.1"/>
    <col collapsed="false" customWidth="false" hidden="false" outlineLevel="0" max="3071" min="2839" style="98" width="9"/>
    <col collapsed="false" customWidth="true" hidden="false" outlineLevel="0" max="3073" min="3072" style="98" width="1.6"/>
    <col collapsed="false" customWidth="true" hidden="false" outlineLevel="0" max="3074" min="3074" style="98" width="13.6"/>
    <col collapsed="false" customWidth="true" hidden="false" outlineLevel="0" max="3075" min="3075" style="98" width="8.5"/>
    <col collapsed="false" customWidth="true" hidden="false" outlineLevel="0" max="3076" min="3076" style="98" width="8.1"/>
    <col collapsed="false" customWidth="true" hidden="false" outlineLevel="0" max="3077" min="3077" style="98" width="8.5"/>
    <col collapsed="false" customWidth="true" hidden="false" outlineLevel="0" max="3078" min="3078" style="98" width="8.1"/>
    <col collapsed="false" customWidth="true" hidden="false" outlineLevel="0" max="3079" min="3079" style="98" width="8.5"/>
    <col collapsed="false" customWidth="true" hidden="false" outlineLevel="0" max="3082" min="3080" style="98" width="8.1"/>
    <col collapsed="false" customWidth="true" hidden="false" outlineLevel="0" max="3083" min="3083" style="98" width="8.5"/>
    <col collapsed="false" customWidth="true" hidden="false" outlineLevel="0" max="3084" min="3084" style="98" width="8.1"/>
    <col collapsed="false" customWidth="true" hidden="false" outlineLevel="0" max="3085" min="3085" style="98" width="8.5"/>
    <col collapsed="false" customWidth="true" hidden="false" outlineLevel="0" max="3086" min="3086" style="98" width="8.1"/>
    <col collapsed="false" customWidth="true" hidden="false" outlineLevel="0" max="3087" min="3087" style="98" width="8.5"/>
    <col collapsed="false" customWidth="true" hidden="false" outlineLevel="0" max="3088" min="3088" style="98" width="8.1"/>
    <col collapsed="false" customWidth="true" hidden="false" outlineLevel="0" max="3089" min="3089" style="98" width="8.5"/>
    <col collapsed="false" customWidth="true" hidden="false" outlineLevel="0" max="3090" min="3090" style="98" width="8.1"/>
    <col collapsed="false" customWidth="true" hidden="false" outlineLevel="0" max="3091" min="3091" style="98" width="8.5"/>
    <col collapsed="false" customWidth="true" hidden="false" outlineLevel="0" max="3094" min="3092" style="98" width="8.1"/>
    <col collapsed="false" customWidth="false" hidden="false" outlineLevel="0" max="3327" min="3095" style="98" width="9"/>
    <col collapsed="false" customWidth="true" hidden="false" outlineLevel="0" max="3329" min="3328" style="98" width="1.6"/>
    <col collapsed="false" customWidth="true" hidden="false" outlineLevel="0" max="3330" min="3330" style="98" width="13.6"/>
    <col collapsed="false" customWidth="true" hidden="false" outlineLevel="0" max="3331" min="3331" style="98" width="8.5"/>
    <col collapsed="false" customWidth="true" hidden="false" outlineLevel="0" max="3332" min="3332" style="98" width="8.1"/>
    <col collapsed="false" customWidth="true" hidden="false" outlineLevel="0" max="3333" min="3333" style="98" width="8.5"/>
    <col collapsed="false" customWidth="true" hidden="false" outlineLevel="0" max="3334" min="3334" style="98" width="8.1"/>
    <col collapsed="false" customWidth="true" hidden="false" outlineLevel="0" max="3335" min="3335" style="98" width="8.5"/>
    <col collapsed="false" customWidth="true" hidden="false" outlineLevel="0" max="3338" min="3336" style="98" width="8.1"/>
    <col collapsed="false" customWidth="true" hidden="false" outlineLevel="0" max="3339" min="3339" style="98" width="8.5"/>
    <col collapsed="false" customWidth="true" hidden="false" outlineLevel="0" max="3340" min="3340" style="98" width="8.1"/>
    <col collapsed="false" customWidth="true" hidden="false" outlineLevel="0" max="3341" min="3341" style="98" width="8.5"/>
    <col collapsed="false" customWidth="true" hidden="false" outlineLevel="0" max="3342" min="3342" style="98" width="8.1"/>
    <col collapsed="false" customWidth="true" hidden="false" outlineLevel="0" max="3343" min="3343" style="98" width="8.5"/>
    <col collapsed="false" customWidth="true" hidden="false" outlineLevel="0" max="3344" min="3344" style="98" width="8.1"/>
    <col collapsed="false" customWidth="true" hidden="false" outlineLevel="0" max="3345" min="3345" style="98" width="8.5"/>
    <col collapsed="false" customWidth="true" hidden="false" outlineLevel="0" max="3346" min="3346" style="98" width="8.1"/>
    <col collapsed="false" customWidth="true" hidden="false" outlineLevel="0" max="3347" min="3347" style="98" width="8.5"/>
    <col collapsed="false" customWidth="true" hidden="false" outlineLevel="0" max="3350" min="3348" style="98" width="8.1"/>
    <col collapsed="false" customWidth="false" hidden="false" outlineLevel="0" max="3583" min="3351" style="98" width="9"/>
    <col collapsed="false" customWidth="true" hidden="false" outlineLevel="0" max="3585" min="3584" style="98" width="1.6"/>
    <col collapsed="false" customWidth="true" hidden="false" outlineLevel="0" max="3586" min="3586" style="98" width="13.6"/>
    <col collapsed="false" customWidth="true" hidden="false" outlineLevel="0" max="3587" min="3587" style="98" width="8.5"/>
    <col collapsed="false" customWidth="true" hidden="false" outlineLevel="0" max="3588" min="3588" style="98" width="8.1"/>
    <col collapsed="false" customWidth="true" hidden="false" outlineLevel="0" max="3589" min="3589" style="98" width="8.5"/>
    <col collapsed="false" customWidth="true" hidden="false" outlineLevel="0" max="3590" min="3590" style="98" width="8.1"/>
    <col collapsed="false" customWidth="true" hidden="false" outlineLevel="0" max="3591" min="3591" style="98" width="8.5"/>
    <col collapsed="false" customWidth="true" hidden="false" outlineLevel="0" max="3594" min="3592" style="98" width="8.1"/>
    <col collapsed="false" customWidth="true" hidden="false" outlineLevel="0" max="3595" min="3595" style="98" width="8.5"/>
    <col collapsed="false" customWidth="true" hidden="false" outlineLevel="0" max="3596" min="3596" style="98" width="8.1"/>
    <col collapsed="false" customWidth="true" hidden="false" outlineLevel="0" max="3597" min="3597" style="98" width="8.5"/>
    <col collapsed="false" customWidth="true" hidden="false" outlineLevel="0" max="3598" min="3598" style="98" width="8.1"/>
    <col collapsed="false" customWidth="true" hidden="false" outlineLevel="0" max="3599" min="3599" style="98" width="8.5"/>
    <col collapsed="false" customWidth="true" hidden="false" outlineLevel="0" max="3600" min="3600" style="98" width="8.1"/>
    <col collapsed="false" customWidth="true" hidden="false" outlineLevel="0" max="3601" min="3601" style="98" width="8.5"/>
    <col collapsed="false" customWidth="true" hidden="false" outlineLevel="0" max="3602" min="3602" style="98" width="8.1"/>
    <col collapsed="false" customWidth="true" hidden="false" outlineLevel="0" max="3603" min="3603" style="98" width="8.5"/>
    <col collapsed="false" customWidth="true" hidden="false" outlineLevel="0" max="3606" min="3604" style="98" width="8.1"/>
    <col collapsed="false" customWidth="false" hidden="false" outlineLevel="0" max="3839" min="3607" style="98" width="9"/>
    <col collapsed="false" customWidth="true" hidden="false" outlineLevel="0" max="3841" min="3840" style="98" width="1.6"/>
    <col collapsed="false" customWidth="true" hidden="false" outlineLevel="0" max="3842" min="3842" style="98" width="13.6"/>
    <col collapsed="false" customWidth="true" hidden="false" outlineLevel="0" max="3843" min="3843" style="98" width="8.5"/>
    <col collapsed="false" customWidth="true" hidden="false" outlineLevel="0" max="3844" min="3844" style="98" width="8.1"/>
    <col collapsed="false" customWidth="true" hidden="false" outlineLevel="0" max="3845" min="3845" style="98" width="8.5"/>
    <col collapsed="false" customWidth="true" hidden="false" outlineLevel="0" max="3846" min="3846" style="98" width="8.1"/>
    <col collapsed="false" customWidth="true" hidden="false" outlineLevel="0" max="3847" min="3847" style="98" width="8.5"/>
    <col collapsed="false" customWidth="true" hidden="false" outlineLevel="0" max="3850" min="3848" style="98" width="8.1"/>
    <col collapsed="false" customWidth="true" hidden="false" outlineLevel="0" max="3851" min="3851" style="98" width="8.5"/>
    <col collapsed="false" customWidth="true" hidden="false" outlineLevel="0" max="3852" min="3852" style="98" width="8.1"/>
    <col collapsed="false" customWidth="true" hidden="false" outlineLevel="0" max="3853" min="3853" style="98" width="8.5"/>
    <col collapsed="false" customWidth="true" hidden="false" outlineLevel="0" max="3854" min="3854" style="98" width="8.1"/>
    <col collapsed="false" customWidth="true" hidden="false" outlineLevel="0" max="3855" min="3855" style="98" width="8.5"/>
    <col collapsed="false" customWidth="true" hidden="false" outlineLevel="0" max="3856" min="3856" style="98" width="8.1"/>
    <col collapsed="false" customWidth="true" hidden="false" outlineLevel="0" max="3857" min="3857" style="98" width="8.5"/>
    <col collapsed="false" customWidth="true" hidden="false" outlineLevel="0" max="3858" min="3858" style="98" width="8.1"/>
    <col collapsed="false" customWidth="true" hidden="false" outlineLevel="0" max="3859" min="3859" style="98" width="8.5"/>
    <col collapsed="false" customWidth="true" hidden="false" outlineLevel="0" max="3862" min="3860" style="98" width="8.1"/>
    <col collapsed="false" customWidth="false" hidden="false" outlineLevel="0" max="4095" min="3863" style="98" width="9"/>
    <col collapsed="false" customWidth="true" hidden="false" outlineLevel="0" max="4097" min="4096" style="98" width="1.6"/>
    <col collapsed="false" customWidth="true" hidden="false" outlineLevel="0" max="4098" min="4098" style="98" width="13.6"/>
    <col collapsed="false" customWidth="true" hidden="false" outlineLevel="0" max="4099" min="4099" style="98" width="8.5"/>
    <col collapsed="false" customWidth="true" hidden="false" outlineLevel="0" max="4100" min="4100" style="98" width="8.1"/>
    <col collapsed="false" customWidth="true" hidden="false" outlineLevel="0" max="4101" min="4101" style="98" width="8.5"/>
    <col collapsed="false" customWidth="true" hidden="false" outlineLevel="0" max="4102" min="4102" style="98" width="8.1"/>
    <col collapsed="false" customWidth="true" hidden="false" outlineLevel="0" max="4103" min="4103" style="98" width="8.5"/>
    <col collapsed="false" customWidth="true" hidden="false" outlineLevel="0" max="4106" min="4104" style="98" width="8.1"/>
    <col collapsed="false" customWidth="true" hidden="false" outlineLevel="0" max="4107" min="4107" style="98" width="8.5"/>
    <col collapsed="false" customWidth="true" hidden="false" outlineLevel="0" max="4108" min="4108" style="98" width="8.1"/>
    <col collapsed="false" customWidth="true" hidden="false" outlineLevel="0" max="4109" min="4109" style="98" width="8.5"/>
    <col collapsed="false" customWidth="true" hidden="false" outlineLevel="0" max="4110" min="4110" style="98" width="8.1"/>
    <col collapsed="false" customWidth="true" hidden="false" outlineLevel="0" max="4111" min="4111" style="98" width="8.5"/>
    <col collapsed="false" customWidth="true" hidden="false" outlineLevel="0" max="4112" min="4112" style="98" width="8.1"/>
    <col collapsed="false" customWidth="true" hidden="false" outlineLevel="0" max="4113" min="4113" style="98" width="8.5"/>
    <col collapsed="false" customWidth="true" hidden="false" outlineLevel="0" max="4114" min="4114" style="98" width="8.1"/>
    <col collapsed="false" customWidth="true" hidden="false" outlineLevel="0" max="4115" min="4115" style="98" width="8.5"/>
    <col collapsed="false" customWidth="true" hidden="false" outlineLevel="0" max="4118" min="4116" style="98" width="8.1"/>
    <col collapsed="false" customWidth="false" hidden="false" outlineLevel="0" max="4351" min="4119" style="98" width="9"/>
    <col collapsed="false" customWidth="true" hidden="false" outlineLevel="0" max="4353" min="4352" style="98" width="1.6"/>
    <col collapsed="false" customWidth="true" hidden="false" outlineLevel="0" max="4354" min="4354" style="98" width="13.6"/>
    <col collapsed="false" customWidth="true" hidden="false" outlineLevel="0" max="4355" min="4355" style="98" width="8.5"/>
    <col collapsed="false" customWidth="true" hidden="false" outlineLevel="0" max="4356" min="4356" style="98" width="8.1"/>
    <col collapsed="false" customWidth="true" hidden="false" outlineLevel="0" max="4357" min="4357" style="98" width="8.5"/>
    <col collapsed="false" customWidth="true" hidden="false" outlineLevel="0" max="4358" min="4358" style="98" width="8.1"/>
    <col collapsed="false" customWidth="true" hidden="false" outlineLevel="0" max="4359" min="4359" style="98" width="8.5"/>
    <col collapsed="false" customWidth="true" hidden="false" outlineLevel="0" max="4362" min="4360" style="98" width="8.1"/>
    <col collapsed="false" customWidth="true" hidden="false" outlineLevel="0" max="4363" min="4363" style="98" width="8.5"/>
    <col collapsed="false" customWidth="true" hidden="false" outlineLevel="0" max="4364" min="4364" style="98" width="8.1"/>
    <col collapsed="false" customWidth="true" hidden="false" outlineLevel="0" max="4365" min="4365" style="98" width="8.5"/>
    <col collapsed="false" customWidth="true" hidden="false" outlineLevel="0" max="4366" min="4366" style="98" width="8.1"/>
    <col collapsed="false" customWidth="true" hidden="false" outlineLevel="0" max="4367" min="4367" style="98" width="8.5"/>
    <col collapsed="false" customWidth="true" hidden="false" outlineLevel="0" max="4368" min="4368" style="98" width="8.1"/>
    <col collapsed="false" customWidth="true" hidden="false" outlineLevel="0" max="4369" min="4369" style="98" width="8.5"/>
    <col collapsed="false" customWidth="true" hidden="false" outlineLevel="0" max="4370" min="4370" style="98" width="8.1"/>
    <col collapsed="false" customWidth="true" hidden="false" outlineLevel="0" max="4371" min="4371" style="98" width="8.5"/>
    <col collapsed="false" customWidth="true" hidden="false" outlineLevel="0" max="4374" min="4372" style="98" width="8.1"/>
    <col collapsed="false" customWidth="false" hidden="false" outlineLevel="0" max="4607" min="4375" style="98" width="9"/>
    <col collapsed="false" customWidth="true" hidden="false" outlineLevel="0" max="4609" min="4608" style="98" width="1.6"/>
    <col collapsed="false" customWidth="true" hidden="false" outlineLevel="0" max="4610" min="4610" style="98" width="13.6"/>
    <col collapsed="false" customWidth="true" hidden="false" outlineLevel="0" max="4611" min="4611" style="98" width="8.5"/>
    <col collapsed="false" customWidth="true" hidden="false" outlineLevel="0" max="4612" min="4612" style="98" width="8.1"/>
    <col collapsed="false" customWidth="true" hidden="false" outlineLevel="0" max="4613" min="4613" style="98" width="8.5"/>
    <col collapsed="false" customWidth="true" hidden="false" outlineLevel="0" max="4614" min="4614" style="98" width="8.1"/>
    <col collapsed="false" customWidth="true" hidden="false" outlineLevel="0" max="4615" min="4615" style="98" width="8.5"/>
    <col collapsed="false" customWidth="true" hidden="false" outlineLevel="0" max="4618" min="4616" style="98" width="8.1"/>
    <col collapsed="false" customWidth="true" hidden="false" outlineLevel="0" max="4619" min="4619" style="98" width="8.5"/>
    <col collapsed="false" customWidth="true" hidden="false" outlineLevel="0" max="4620" min="4620" style="98" width="8.1"/>
    <col collapsed="false" customWidth="true" hidden="false" outlineLevel="0" max="4621" min="4621" style="98" width="8.5"/>
    <col collapsed="false" customWidth="true" hidden="false" outlineLevel="0" max="4622" min="4622" style="98" width="8.1"/>
    <col collapsed="false" customWidth="true" hidden="false" outlineLevel="0" max="4623" min="4623" style="98" width="8.5"/>
    <col collapsed="false" customWidth="true" hidden="false" outlineLevel="0" max="4624" min="4624" style="98" width="8.1"/>
    <col collapsed="false" customWidth="true" hidden="false" outlineLevel="0" max="4625" min="4625" style="98" width="8.5"/>
    <col collapsed="false" customWidth="true" hidden="false" outlineLevel="0" max="4626" min="4626" style="98" width="8.1"/>
    <col collapsed="false" customWidth="true" hidden="false" outlineLevel="0" max="4627" min="4627" style="98" width="8.5"/>
    <col collapsed="false" customWidth="true" hidden="false" outlineLevel="0" max="4630" min="4628" style="98" width="8.1"/>
    <col collapsed="false" customWidth="false" hidden="false" outlineLevel="0" max="4863" min="4631" style="98" width="9"/>
    <col collapsed="false" customWidth="true" hidden="false" outlineLevel="0" max="4865" min="4864" style="98" width="1.6"/>
    <col collapsed="false" customWidth="true" hidden="false" outlineLevel="0" max="4866" min="4866" style="98" width="13.6"/>
    <col collapsed="false" customWidth="true" hidden="false" outlineLevel="0" max="4867" min="4867" style="98" width="8.5"/>
    <col collapsed="false" customWidth="true" hidden="false" outlineLevel="0" max="4868" min="4868" style="98" width="8.1"/>
    <col collapsed="false" customWidth="true" hidden="false" outlineLevel="0" max="4869" min="4869" style="98" width="8.5"/>
    <col collapsed="false" customWidth="true" hidden="false" outlineLevel="0" max="4870" min="4870" style="98" width="8.1"/>
    <col collapsed="false" customWidth="true" hidden="false" outlineLevel="0" max="4871" min="4871" style="98" width="8.5"/>
    <col collapsed="false" customWidth="true" hidden="false" outlineLevel="0" max="4874" min="4872" style="98" width="8.1"/>
    <col collapsed="false" customWidth="true" hidden="false" outlineLevel="0" max="4875" min="4875" style="98" width="8.5"/>
    <col collapsed="false" customWidth="true" hidden="false" outlineLevel="0" max="4876" min="4876" style="98" width="8.1"/>
    <col collapsed="false" customWidth="true" hidden="false" outlineLevel="0" max="4877" min="4877" style="98" width="8.5"/>
    <col collapsed="false" customWidth="true" hidden="false" outlineLevel="0" max="4878" min="4878" style="98" width="8.1"/>
    <col collapsed="false" customWidth="true" hidden="false" outlineLevel="0" max="4879" min="4879" style="98" width="8.5"/>
    <col collapsed="false" customWidth="true" hidden="false" outlineLevel="0" max="4880" min="4880" style="98" width="8.1"/>
    <col collapsed="false" customWidth="true" hidden="false" outlineLevel="0" max="4881" min="4881" style="98" width="8.5"/>
    <col collapsed="false" customWidth="true" hidden="false" outlineLevel="0" max="4882" min="4882" style="98" width="8.1"/>
    <col collapsed="false" customWidth="true" hidden="false" outlineLevel="0" max="4883" min="4883" style="98" width="8.5"/>
    <col collapsed="false" customWidth="true" hidden="false" outlineLevel="0" max="4886" min="4884" style="98" width="8.1"/>
    <col collapsed="false" customWidth="false" hidden="false" outlineLevel="0" max="5119" min="4887" style="98" width="9"/>
    <col collapsed="false" customWidth="true" hidden="false" outlineLevel="0" max="5121" min="5120" style="98" width="1.6"/>
    <col collapsed="false" customWidth="true" hidden="false" outlineLevel="0" max="5122" min="5122" style="98" width="13.6"/>
    <col collapsed="false" customWidth="true" hidden="false" outlineLevel="0" max="5123" min="5123" style="98" width="8.5"/>
    <col collapsed="false" customWidth="true" hidden="false" outlineLevel="0" max="5124" min="5124" style="98" width="8.1"/>
    <col collapsed="false" customWidth="true" hidden="false" outlineLevel="0" max="5125" min="5125" style="98" width="8.5"/>
    <col collapsed="false" customWidth="true" hidden="false" outlineLevel="0" max="5126" min="5126" style="98" width="8.1"/>
    <col collapsed="false" customWidth="true" hidden="false" outlineLevel="0" max="5127" min="5127" style="98" width="8.5"/>
    <col collapsed="false" customWidth="true" hidden="false" outlineLevel="0" max="5130" min="5128" style="98" width="8.1"/>
    <col collapsed="false" customWidth="true" hidden="false" outlineLevel="0" max="5131" min="5131" style="98" width="8.5"/>
    <col collapsed="false" customWidth="true" hidden="false" outlineLevel="0" max="5132" min="5132" style="98" width="8.1"/>
    <col collapsed="false" customWidth="true" hidden="false" outlineLevel="0" max="5133" min="5133" style="98" width="8.5"/>
    <col collapsed="false" customWidth="true" hidden="false" outlineLevel="0" max="5134" min="5134" style="98" width="8.1"/>
    <col collapsed="false" customWidth="true" hidden="false" outlineLevel="0" max="5135" min="5135" style="98" width="8.5"/>
    <col collapsed="false" customWidth="true" hidden="false" outlineLevel="0" max="5136" min="5136" style="98" width="8.1"/>
    <col collapsed="false" customWidth="true" hidden="false" outlineLevel="0" max="5137" min="5137" style="98" width="8.5"/>
    <col collapsed="false" customWidth="true" hidden="false" outlineLevel="0" max="5138" min="5138" style="98" width="8.1"/>
    <col collapsed="false" customWidth="true" hidden="false" outlineLevel="0" max="5139" min="5139" style="98" width="8.5"/>
    <col collapsed="false" customWidth="true" hidden="false" outlineLevel="0" max="5142" min="5140" style="98" width="8.1"/>
    <col collapsed="false" customWidth="false" hidden="false" outlineLevel="0" max="5375" min="5143" style="98" width="9"/>
    <col collapsed="false" customWidth="true" hidden="false" outlineLevel="0" max="5377" min="5376" style="98" width="1.6"/>
    <col collapsed="false" customWidth="true" hidden="false" outlineLevel="0" max="5378" min="5378" style="98" width="13.6"/>
    <col collapsed="false" customWidth="true" hidden="false" outlineLevel="0" max="5379" min="5379" style="98" width="8.5"/>
    <col collapsed="false" customWidth="true" hidden="false" outlineLevel="0" max="5380" min="5380" style="98" width="8.1"/>
    <col collapsed="false" customWidth="true" hidden="false" outlineLevel="0" max="5381" min="5381" style="98" width="8.5"/>
    <col collapsed="false" customWidth="true" hidden="false" outlineLevel="0" max="5382" min="5382" style="98" width="8.1"/>
    <col collapsed="false" customWidth="true" hidden="false" outlineLevel="0" max="5383" min="5383" style="98" width="8.5"/>
    <col collapsed="false" customWidth="true" hidden="false" outlineLevel="0" max="5386" min="5384" style="98" width="8.1"/>
    <col collapsed="false" customWidth="true" hidden="false" outlineLevel="0" max="5387" min="5387" style="98" width="8.5"/>
    <col collapsed="false" customWidth="true" hidden="false" outlineLevel="0" max="5388" min="5388" style="98" width="8.1"/>
    <col collapsed="false" customWidth="true" hidden="false" outlineLevel="0" max="5389" min="5389" style="98" width="8.5"/>
    <col collapsed="false" customWidth="true" hidden="false" outlineLevel="0" max="5390" min="5390" style="98" width="8.1"/>
    <col collapsed="false" customWidth="true" hidden="false" outlineLevel="0" max="5391" min="5391" style="98" width="8.5"/>
    <col collapsed="false" customWidth="true" hidden="false" outlineLevel="0" max="5392" min="5392" style="98" width="8.1"/>
    <col collapsed="false" customWidth="true" hidden="false" outlineLevel="0" max="5393" min="5393" style="98" width="8.5"/>
    <col collapsed="false" customWidth="true" hidden="false" outlineLevel="0" max="5394" min="5394" style="98" width="8.1"/>
    <col collapsed="false" customWidth="true" hidden="false" outlineLevel="0" max="5395" min="5395" style="98" width="8.5"/>
    <col collapsed="false" customWidth="true" hidden="false" outlineLevel="0" max="5398" min="5396" style="98" width="8.1"/>
    <col collapsed="false" customWidth="false" hidden="false" outlineLevel="0" max="5631" min="5399" style="98" width="9"/>
    <col collapsed="false" customWidth="true" hidden="false" outlineLevel="0" max="5633" min="5632" style="98" width="1.6"/>
    <col collapsed="false" customWidth="true" hidden="false" outlineLevel="0" max="5634" min="5634" style="98" width="13.6"/>
    <col collapsed="false" customWidth="true" hidden="false" outlineLevel="0" max="5635" min="5635" style="98" width="8.5"/>
    <col collapsed="false" customWidth="true" hidden="false" outlineLevel="0" max="5636" min="5636" style="98" width="8.1"/>
    <col collapsed="false" customWidth="true" hidden="false" outlineLevel="0" max="5637" min="5637" style="98" width="8.5"/>
    <col collapsed="false" customWidth="true" hidden="false" outlineLevel="0" max="5638" min="5638" style="98" width="8.1"/>
    <col collapsed="false" customWidth="true" hidden="false" outlineLevel="0" max="5639" min="5639" style="98" width="8.5"/>
    <col collapsed="false" customWidth="true" hidden="false" outlineLevel="0" max="5642" min="5640" style="98" width="8.1"/>
    <col collapsed="false" customWidth="true" hidden="false" outlineLevel="0" max="5643" min="5643" style="98" width="8.5"/>
    <col collapsed="false" customWidth="true" hidden="false" outlineLevel="0" max="5644" min="5644" style="98" width="8.1"/>
    <col collapsed="false" customWidth="true" hidden="false" outlineLevel="0" max="5645" min="5645" style="98" width="8.5"/>
    <col collapsed="false" customWidth="true" hidden="false" outlineLevel="0" max="5646" min="5646" style="98" width="8.1"/>
    <col collapsed="false" customWidth="true" hidden="false" outlineLevel="0" max="5647" min="5647" style="98" width="8.5"/>
    <col collapsed="false" customWidth="true" hidden="false" outlineLevel="0" max="5648" min="5648" style="98" width="8.1"/>
    <col collapsed="false" customWidth="true" hidden="false" outlineLevel="0" max="5649" min="5649" style="98" width="8.5"/>
    <col collapsed="false" customWidth="true" hidden="false" outlineLevel="0" max="5650" min="5650" style="98" width="8.1"/>
    <col collapsed="false" customWidth="true" hidden="false" outlineLevel="0" max="5651" min="5651" style="98" width="8.5"/>
    <col collapsed="false" customWidth="true" hidden="false" outlineLevel="0" max="5654" min="5652" style="98" width="8.1"/>
    <col collapsed="false" customWidth="false" hidden="false" outlineLevel="0" max="5887" min="5655" style="98" width="9"/>
    <col collapsed="false" customWidth="true" hidden="false" outlineLevel="0" max="5889" min="5888" style="98" width="1.6"/>
    <col collapsed="false" customWidth="true" hidden="false" outlineLevel="0" max="5890" min="5890" style="98" width="13.6"/>
    <col collapsed="false" customWidth="true" hidden="false" outlineLevel="0" max="5891" min="5891" style="98" width="8.5"/>
    <col collapsed="false" customWidth="true" hidden="false" outlineLevel="0" max="5892" min="5892" style="98" width="8.1"/>
    <col collapsed="false" customWidth="true" hidden="false" outlineLevel="0" max="5893" min="5893" style="98" width="8.5"/>
    <col collapsed="false" customWidth="true" hidden="false" outlineLevel="0" max="5894" min="5894" style="98" width="8.1"/>
    <col collapsed="false" customWidth="true" hidden="false" outlineLevel="0" max="5895" min="5895" style="98" width="8.5"/>
    <col collapsed="false" customWidth="true" hidden="false" outlineLevel="0" max="5898" min="5896" style="98" width="8.1"/>
    <col collapsed="false" customWidth="true" hidden="false" outlineLevel="0" max="5899" min="5899" style="98" width="8.5"/>
    <col collapsed="false" customWidth="true" hidden="false" outlineLevel="0" max="5900" min="5900" style="98" width="8.1"/>
    <col collapsed="false" customWidth="true" hidden="false" outlineLevel="0" max="5901" min="5901" style="98" width="8.5"/>
    <col collapsed="false" customWidth="true" hidden="false" outlineLevel="0" max="5902" min="5902" style="98" width="8.1"/>
    <col collapsed="false" customWidth="true" hidden="false" outlineLevel="0" max="5903" min="5903" style="98" width="8.5"/>
    <col collapsed="false" customWidth="true" hidden="false" outlineLevel="0" max="5904" min="5904" style="98" width="8.1"/>
    <col collapsed="false" customWidth="true" hidden="false" outlineLevel="0" max="5905" min="5905" style="98" width="8.5"/>
    <col collapsed="false" customWidth="true" hidden="false" outlineLevel="0" max="5906" min="5906" style="98" width="8.1"/>
    <col collapsed="false" customWidth="true" hidden="false" outlineLevel="0" max="5907" min="5907" style="98" width="8.5"/>
    <col collapsed="false" customWidth="true" hidden="false" outlineLevel="0" max="5910" min="5908" style="98" width="8.1"/>
    <col collapsed="false" customWidth="false" hidden="false" outlineLevel="0" max="6143" min="5911" style="98" width="9"/>
    <col collapsed="false" customWidth="true" hidden="false" outlineLevel="0" max="6145" min="6144" style="98" width="1.6"/>
    <col collapsed="false" customWidth="true" hidden="false" outlineLevel="0" max="6146" min="6146" style="98" width="13.6"/>
    <col collapsed="false" customWidth="true" hidden="false" outlineLevel="0" max="6147" min="6147" style="98" width="8.5"/>
    <col collapsed="false" customWidth="true" hidden="false" outlineLevel="0" max="6148" min="6148" style="98" width="8.1"/>
    <col collapsed="false" customWidth="true" hidden="false" outlineLevel="0" max="6149" min="6149" style="98" width="8.5"/>
    <col collapsed="false" customWidth="true" hidden="false" outlineLevel="0" max="6150" min="6150" style="98" width="8.1"/>
    <col collapsed="false" customWidth="true" hidden="false" outlineLevel="0" max="6151" min="6151" style="98" width="8.5"/>
    <col collapsed="false" customWidth="true" hidden="false" outlineLevel="0" max="6154" min="6152" style="98" width="8.1"/>
    <col collapsed="false" customWidth="true" hidden="false" outlineLevel="0" max="6155" min="6155" style="98" width="8.5"/>
    <col collapsed="false" customWidth="true" hidden="false" outlineLevel="0" max="6156" min="6156" style="98" width="8.1"/>
    <col collapsed="false" customWidth="true" hidden="false" outlineLevel="0" max="6157" min="6157" style="98" width="8.5"/>
    <col collapsed="false" customWidth="true" hidden="false" outlineLevel="0" max="6158" min="6158" style="98" width="8.1"/>
    <col collapsed="false" customWidth="true" hidden="false" outlineLevel="0" max="6159" min="6159" style="98" width="8.5"/>
    <col collapsed="false" customWidth="true" hidden="false" outlineLevel="0" max="6160" min="6160" style="98" width="8.1"/>
    <col collapsed="false" customWidth="true" hidden="false" outlineLevel="0" max="6161" min="6161" style="98" width="8.5"/>
    <col collapsed="false" customWidth="true" hidden="false" outlineLevel="0" max="6162" min="6162" style="98" width="8.1"/>
    <col collapsed="false" customWidth="true" hidden="false" outlineLevel="0" max="6163" min="6163" style="98" width="8.5"/>
    <col collapsed="false" customWidth="true" hidden="false" outlineLevel="0" max="6166" min="6164" style="98" width="8.1"/>
    <col collapsed="false" customWidth="false" hidden="false" outlineLevel="0" max="6399" min="6167" style="98" width="9"/>
    <col collapsed="false" customWidth="true" hidden="false" outlineLevel="0" max="6401" min="6400" style="98" width="1.6"/>
    <col collapsed="false" customWidth="true" hidden="false" outlineLevel="0" max="6402" min="6402" style="98" width="13.6"/>
    <col collapsed="false" customWidth="true" hidden="false" outlineLevel="0" max="6403" min="6403" style="98" width="8.5"/>
    <col collapsed="false" customWidth="true" hidden="false" outlineLevel="0" max="6404" min="6404" style="98" width="8.1"/>
    <col collapsed="false" customWidth="true" hidden="false" outlineLevel="0" max="6405" min="6405" style="98" width="8.5"/>
    <col collapsed="false" customWidth="true" hidden="false" outlineLevel="0" max="6406" min="6406" style="98" width="8.1"/>
    <col collapsed="false" customWidth="true" hidden="false" outlineLevel="0" max="6407" min="6407" style="98" width="8.5"/>
    <col collapsed="false" customWidth="true" hidden="false" outlineLevel="0" max="6410" min="6408" style="98" width="8.1"/>
    <col collapsed="false" customWidth="true" hidden="false" outlineLevel="0" max="6411" min="6411" style="98" width="8.5"/>
    <col collapsed="false" customWidth="true" hidden="false" outlineLevel="0" max="6412" min="6412" style="98" width="8.1"/>
    <col collapsed="false" customWidth="true" hidden="false" outlineLevel="0" max="6413" min="6413" style="98" width="8.5"/>
    <col collapsed="false" customWidth="true" hidden="false" outlineLevel="0" max="6414" min="6414" style="98" width="8.1"/>
    <col collapsed="false" customWidth="true" hidden="false" outlineLevel="0" max="6415" min="6415" style="98" width="8.5"/>
    <col collapsed="false" customWidth="true" hidden="false" outlineLevel="0" max="6416" min="6416" style="98" width="8.1"/>
    <col collapsed="false" customWidth="true" hidden="false" outlineLevel="0" max="6417" min="6417" style="98" width="8.5"/>
    <col collapsed="false" customWidth="true" hidden="false" outlineLevel="0" max="6418" min="6418" style="98" width="8.1"/>
    <col collapsed="false" customWidth="true" hidden="false" outlineLevel="0" max="6419" min="6419" style="98" width="8.5"/>
    <col collapsed="false" customWidth="true" hidden="false" outlineLevel="0" max="6422" min="6420" style="98" width="8.1"/>
    <col collapsed="false" customWidth="false" hidden="false" outlineLevel="0" max="6655" min="6423" style="98" width="9"/>
    <col collapsed="false" customWidth="true" hidden="false" outlineLevel="0" max="6657" min="6656" style="98" width="1.6"/>
    <col collapsed="false" customWidth="true" hidden="false" outlineLevel="0" max="6658" min="6658" style="98" width="13.6"/>
    <col collapsed="false" customWidth="true" hidden="false" outlineLevel="0" max="6659" min="6659" style="98" width="8.5"/>
    <col collapsed="false" customWidth="true" hidden="false" outlineLevel="0" max="6660" min="6660" style="98" width="8.1"/>
    <col collapsed="false" customWidth="true" hidden="false" outlineLevel="0" max="6661" min="6661" style="98" width="8.5"/>
    <col collapsed="false" customWidth="true" hidden="false" outlineLevel="0" max="6662" min="6662" style="98" width="8.1"/>
    <col collapsed="false" customWidth="true" hidden="false" outlineLevel="0" max="6663" min="6663" style="98" width="8.5"/>
    <col collapsed="false" customWidth="true" hidden="false" outlineLevel="0" max="6666" min="6664" style="98" width="8.1"/>
    <col collapsed="false" customWidth="true" hidden="false" outlineLevel="0" max="6667" min="6667" style="98" width="8.5"/>
    <col collapsed="false" customWidth="true" hidden="false" outlineLevel="0" max="6668" min="6668" style="98" width="8.1"/>
    <col collapsed="false" customWidth="true" hidden="false" outlineLevel="0" max="6669" min="6669" style="98" width="8.5"/>
    <col collapsed="false" customWidth="true" hidden="false" outlineLevel="0" max="6670" min="6670" style="98" width="8.1"/>
    <col collapsed="false" customWidth="true" hidden="false" outlineLevel="0" max="6671" min="6671" style="98" width="8.5"/>
    <col collapsed="false" customWidth="true" hidden="false" outlineLevel="0" max="6672" min="6672" style="98" width="8.1"/>
    <col collapsed="false" customWidth="true" hidden="false" outlineLevel="0" max="6673" min="6673" style="98" width="8.5"/>
    <col collapsed="false" customWidth="true" hidden="false" outlineLevel="0" max="6674" min="6674" style="98" width="8.1"/>
    <col collapsed="false" customWidth="true" hidden="false" outlineLevel="0" max="6675" min="6675" style="98" width="8.5"/>
    <col collapsed="false" customWidth="true" hidden="false" outlineLevel="0" max="6678" min="6676" style="98" width="8.1"/>
    <col collapsed="false" customWidth="false" hidden="false" outlineLevel="0" max="6911" min="6679" style="98" width="9"/>
    <col collapsed="false" customWidth="true" hidden="false" outlineLevel="0" max="6913" min="6912" style="98" width="1.6"/>
    <col collapsed="false" customWidth="true" hidden="false" outlineLevel="0" max="6914" min="6914" style="98" width="13.6"/>
    <col collapsed="false" customWidth="true" hidden="false" outlineLevel="0" max="6915" min="6915" style="98" width="8.5"/>
    <col collapsed="false" customWidth="true" hidden="false" outlineLevel="0" max="6916" min="6916" style="98" width="8.1"/>
    <col collapsed="false" customWidth="true" hidden="false" outlineLevel="0" max="6917" min="6917" style="98" width="8.5"/>
    <col collapsed="false" customWidth="true" hidden="false" outlineLevel="0" max="6918" min="6918" style="98" width="8.1"/>
    <col collapsed="false" customWidth="true" hidden="false" outlineLevel="0" max="6919" min="6919" style="98" width="8.5"/>
    <col collapsed="false" customWidth="true" hidden="false" outlineLevel="0" max="6922" min="6920" style="98" width="8.1"/>
    <col collapsed="false" customWidth="true" hidden="false" outlineLevel="0" max="6923" min="6923" style="98" width="8.5"/>
    <col collapsed="false" customWidth="true" hidden="false" outlineLevel="0" max="6924" min="6924" style="98" width="8.1"/>
    <col collapsed="false" customWidth="true" hidden="false" outlineLevel="0" max="6925" min="6925" style="98" width="8.5"/>
    <col collapsed="false" customWidth="true" hidden="false" outlineLevel="0" max="6926" min="6926" style="98" width="8.1"/>
    <col collapsed="false" customWidth="true" hidden="false" outlineLevel="0" max="6927" min="6927" style="98" width="8.5"/>
    <col collapsed="false" customWidth="true" hidden="false" outlineLevel="0" max="6928" min="6928" style="98" width="8.1"/>
    <col collapsed="false" customWidth="true" hidden="false" outlineLevel="0" max="6929" min="6929" style="98" width="8.5"/>
    <col collapsed="false" customWidth="true" hidden="false" outlineLevel="0" max="6930" min="6930" style="98" width="8.1"/>
    <col collapsed="false" customWidth="true" hidden="false" outlineLevel="0" max="6931" min="6931" style="98" width="8.5"/>
    <col collapsed="false" customWidth="true" hidden="false" outlineLevel="0" max="6934" min="6932" style="98" width="8.1"/>
    <col collapsed="false" customWidth="false" hidden="false" outlineLevel="0" max="7167" min="6935" style="98" width="9"/>
    <col collapsed="false" customWidth="true" hidden="false" outlineLevel="0" max="7169" min="7168" style="98" width="1.6"/>
    <col collapsed="false" customWidth="true" hidden="false" outlineLevel="0" max="7170" min="7170" style="98" width="13.6"/>
    <col collapsed="false" customWidth="true" hidden="false" outlineLevel="0" max="7171" min="7171" style="98" width="8.5"/>
    <col collapsed="false" customWidth="true" hidden="false" outlineLevel="0" max="7172" min="7172" style="98" width="8.1"/>
    <col collapsed="false" customWidth="true" hidden="false" outlineLevel="0" max="7173" min="7173" style="98" width="8.5"/>
    <col collapsed="false" customWidth="true" hidden="false" outlineLevel="0" max="7174" min="7174" style="98" width="8.1"/>
    <col collapsed="false" customWidth="true" hidden="false" outlineLevel="0" max="7175" min="7175" style="98" width="8.5"/>
    <col collapsed="false" customWidth="true" hidden="false" outlineLevel="0" max="7178" min="7176" style="98" width="8.1"/>
    <col collapsed="false" customWidth="true" hidden="false" outlineLevel="0" max="7179" min="7179" style="98" width="8.5"/>
    <col collapsed="false" customWidth="true" hidden="false" outlineLevel="0" max="7180" min="7180" style="98" width="8.1"/>
    <col collapsed="false" customWidth="true" hidden="false" outlineLevel="0" max="7181" min="7181" style="98" width="8.5"/>
    <col collapsed="false" customWidth="true" hidden="false" outlineLevel="0" max="7182" min="7182" style="98" width="8.1"/>
    <col collapsed="false" customWidth="true" hidden="false" outlineLevel="0" max="7183" min="7183" style="98" width="8.5"/>
    <col collapsed="false" customWidth="true" hidden="false" outlineLevel="0" max="7184" min="7184" style="98" width="8.1"/>
    <col collapsed="false" customWidth="true" hidden="false" outlineLevel="0" max="7185" min="7185" style="98" width="8.5"/>
    <col collapsed="false" customWidth="true" hidden="false" outlineLevel="0" max="7186" min="7186" style="98" width="8.1"/>
    <col collapsed="false" customWidth="true" hidden="false" outlineLevel="0" max="7187" min="7187" style="98" width="8.5"/>
    <col collapsed="false" customWidth="true" hidden="false" outlineLevel="0" max="7190" min="7188" style="98" width="8.1"/>
    <col collapsed="false" customWidth="false" hidden="false" outlineLevel="0" max="7423" min="7191" style="98" width="9"/>
    <col collapsed="false" customWidth="true" hidden="false" outlineLevel="0" max="7425" min="7424" style="98" width="1.6"/>
    <col collapsed="false" customWidth="true" hidden="false" outlineLevel="0" max="7426" min="7426" style="98" width="13.6"/>
    <col collapsed="false" customWidth="true" hidden="false" outlineLevel="0" max="7427" min="7427" style="98" width="8.5"/>
    <col collapsed="false" customWidth="true" hidden="false" outlineLevel="0" max="7428" min="7428" style="98" width="8.1"/>
    <col collapsed="false" customWidth="true" hidden="false" outlineLevel="0" max="7429" min="7429" style="98" width="8.5"/>
    <col collapsed="false" customWidth="true" hidden="false" outlineLevel="0" max="7430" min="7430" style="98" width="8.1"/>
    <col collapsed="false" customWidth="true" hidden="false" outlineLevel="0" max="7431" min="7431" style="98" width="8.5"/>
    <col collapsed="false" customWidth="true" hidden="false" outlineLevel="0" max="7434" min="7432" style="98" width="8.1"/>
    <col collapsed="false" customWidth="true" hidden="false" outlineLevel="0" max="7435" min="7435" style="98" width="8.5"/>
    <col collapsed="false" customWidth="true" hidden="false" outlineLevel="0" max="7436" min="7436" style="98" width="8.1"/>
    <col collapsed="false" customWidth="true" hidden="false" outlineLevel="0" max="7437" min="7437" style="98" width="8.5"/>
    <col collapsed="false" customWidth="true" hidden="false" outlineLevel="0" max="7438" min="7438" style="98" width="8.1"/>
    <col collapsed="false" customWidth="true" hidden="false" outlineLevel="0" max="7439" min="7439" style="98" width="8.5"/>
    <col collapsed="false" customWidth="true" hidden="false" outlineLevel="0" max="7440" min="7440" style="98" width="8.1"/>
    <col collapsed="false" customWidth="true" hidden="false" outlineLevel="0" max="7441" min="7441" style="98" width="8.5"/>
    <col collapsed="false" customWidth="true" hidden="false" outlineLevel="0" max="7442" min="7442" style="98" width="8.1"/>
    <col collapsed="false" customWidth="true" hidden="false" outlineLevel="0" max="7443" min="7443" style="98" width="8.5"/>
    <col collapsed="false" customWidth="true" hidden="false" outlineLevel="0" max="7446" min="7444" style="98" width="8.1"/>
    <col collapsed="false" customWidth="false" hidden="false" outlineLevel="0" max="7679" min="7447" style="98" width="9"/>
    <col collapsed="false" customWidth="true" hidden="false" outlineLevel="0" max="7681" min="7680" style="98" width="1.6"/>
    <col collapsed="false" customWidth="true" hidden="false" outlineLevel="0" max="7682" min="7682" style="98" width="13.6"/>
    <col collapsed="false" customWidth="true" hidden="false" outlineLevel="0" max="7683" min="7683" style="98" width="8.5"/>
    <col collapsed="false" customWidth="true" hidden="false" outlineLevel="0" max="7684" min="7684" style="98" width="8.1"/>
    <col collapsed="false" customWidth="true" hidden="false" outlineLevel="0" max="7685" min="7685" style="98" width="8.5"/>
    <col collapsed="false" customWidth="true" hidden="false" outlineLevel="0" max="7686" min="7686" style="98" width="8.1"/>
    <col collapsed="false" customWidth="true" hidden="false" outlineLevel="0" max="7687" min="7687" style="98" width="8.5"/>
    <col collapsed="false" customWidth="true" hidden="false" outlineLevel="0" max="7690" min="7688" style="98" width="8.1"/>
    <col collapsed="false" customWidth="true" hidden="false" outlineLevel="0" max="7691" min="7691" style="98" width="8.5"/>
    <col collapsed="false" customWidth="true" hidden="false" outlineLevel="0" max="7692" min="7692" style="98" width="8.1"/>
    <col collapsed="false" customWidth="true" hidden="false" outlineLevel="0" max="7693" min="7693" style="98" width="8.5"/>
    <col collapsed="false" customWidth="true" hidden="false" outlineLevel="0" max="7694" min="7694" style="98" width="8.1"/>
    <col collapsed="false" customWidth="true" hidden="false" outlineLevel="0" max="7695" min="7695" style="98" width="8.5"/>
    <col collapsed="false" customWidth="true" hidden="false" outlineLevel="0" max="7696" min="7696" style="98" width="8.1"/>
    <col collapsed="false" customWidth="true" hidden="false" outlineLevel="0" max="7697" min="7697" style="98" width="8.5"/>
    <col collapsed="false" customWidth="true" hidden="false" outlineLevel="0" max="7698" min="7698" style="98" width="8.1"/>
    <col collapsed="false" customWidth="true" hidden="false" outlineLevel="0" max="7699" min="7699" style="98" width="8.5"/>
    <col collapsed="false" customWidth="true" hidden="false" outlineLevel="0" max="7702" min="7700" style="98" width="8.1"/>
    <col collapsed="false" customWidth="false" hidden="false" outlineLevel="0" max="7935" min="7703" style="98" width="9"/>
    <col collapsed="false" customWidth="true" hidden="false" outlineLevel="0" max="7937" min="7936" style="98" width="1.6"/>
    <col collapsed="false" customWidth="true" hidden="false" outlineLevel="0" max="7938" min="7938" style="98" width="13.6"/>
    <col collapsed="false" customWidth="true" hidden="false" outlineLevel="0" max="7939" min="7939" style="98" width="8.5"/>
    <col collapsed="false" customWidth="true" hidden="false" outlineLevel="0" max="7940" min="7940" style="98" width="8.1"/>
    <col collapsed="false" customWidth="true" hidden="false" outlineLevel="0" max="7941" min="7941" style="98" width="8.5"/>
    <col collapsed="false" customWidth="true" hidden="false" outlineLevel="0" max="7942" min="7942" style="98" width="8.1"/>
    <col collapsed="false" customWidth="true" hidden="false" outlineLevel="0" max="7943" min="7943" style="98" width="8.5"/>
    <col collapsed="false" customWidth="true" hidden="false" outlineLevel="0" max="7946" min="7944" style="98" width="8.1"/>
    <col collapsed="false" customWidth="true" hidden="false" outlineLevel="0" max="7947" min="7947" style="98" width="8.5"/>
    <col collapsed="false" customWidth="true" hidden="false" outlineLevel="0" max="7948" min="7948" style="98" width="8.1"/>
    <col collapsed="false" customWidth="true" hidden="false" outlineLevel="0" max="7949" min="7949" style="98" width="8.5"/>
    <col collapsed="false" customWidth="true" hidden="false" outlineLevel="0" max="7950" min="7950" style="98" width="8.1"/>
    <col collapsed="false" customWidth="true" hidden="false" outlineLevel="0" max="7951" min="7951" style="98" width="8.5"/>
    <col collapsed="false" customWidth="true" hidden="false" outlineLevel="0" max="7952" min="7952" style="98" width="8.1"/>
    <col collapsed="false" customWidth="true" hidden="false" outlineLevel="0" max="7953" min="7953" style="98" width="8.5"/>
    <col collapsed="false" customWidth="true" hidden="false" outlineLevel="0" max="7954" min="7954" style="98" width="8.1"/>
    <col collapsed="false" customWidth="true" hidden="false" outlineLevel="0" max="7955" min="7955" style="98" width="8.5"/>
    <col collapsed="false" customWidth="true" hidden="false" outlineLevel="0" max="7958" min="7956" style="98" width="8.1"/>
    <col collapsed="false" customWidth="false" hidden="false" outlineLevel="0" max="8191" min="7959" style="98" width="9"/>
    <col collapsed="false" customWidth="true" hidden="false" outlineLevel="0" max="8193" min="8192" style="98" width="1.6"/>
    <col collapsed="false" customWidth="true" hidden="false" outlineLevel="0" max="8194" min="8194" style="98" width="13.6"/>
    <col collapsed="false" customWidth="true" hidden="false" outlineLevel="0" max="8195" min="8195" style="98" width="8.5"/>
    <col collapsed="false" customWidth="true" hidden="false" outlineLevel="0" max="8196" min="8196" style="98" width="8.1"/>
    <col collapsed="false" customWidth="true" hidden="false" outlineLevel="0" max="8197" min="8197" style="98" width="8.5"/>
    <col collapsed="false" customWidth="true" hidden="false" outlineLevel="0" max="8198" min="8198" style="98" width="8.1"/>
    <col collapsed="false" customWidth="true" hidden="false" outlineLevel="0" max="8199" min="8199" style="98" width="8.5"/>
    <col collapsed="false" customWidth="true" hidden="false" outlineLevel="0" max="8202" min="8200" style="98" width="8.1"/>
    <col collapsed="false" customWidth="true" hidden="false" outlineLevel="0" max="8203" min="8203" style="98" width="8.5"/>
    <col collapsed="false" customWidth="true" hidden="false" outlineLevel="0" max="8204" min="8204" style="98" width="8.1"/>
    <col collapsed="false" customWidth="true" hidden="false" outlineLevel="0" max="8205" min="8205" style="98" width="8.5"/>
    <col collapsed="false" customWidth="true" hidden="false" outlineLevel="0" max="8206" min="8206" style="98" width="8.1"/>
    <col collapsed="false" customWidth="true" hidden="false" outlineLevel="0" max="8207" min="8207" style="98" width="8.5"/>
    <col collapsed="false" customWidth="true" hidden="false" outlineLevel="0" max="8208" min="8208" style="98" width="8.1"/>
    <col collapsed="false" customWidth="true" hidden="false" outlineLevel="0" max="8209" min="8209" style="98" width="8.5"/>
    <col collapsed="false" customWidth="true" hidden="false" outlineLevel="0" max="8210" min="8210" style="98" width="8.1"/>
    <col collapsed="false" customWidth="true" hidden="false" outlineLevel="0" max="8211" min="8211" style="98" width="8.5"/>
    <col collapsed="false" customWidth="true" hidden="false" outlineLevel="0" max="8214" min="8212" style="98" width="8.1"/>
    <col collapsed="false" customWidth="false" hidden="false" outlineLevel="0" max="8447" min="8215" style="98" width="9"/>
    <col collapsed="false" customWidth="true" hidden="false" outlineLevel="0" max="8449" min="8448" style="98" width="1.6"/>
    <col collapsed="false" customWidth="true" hidden="false" outlineLevel="0" max="8450" min="8450" style="98" width="13.6"/>
    <col collapsed="false" customWidth="true" hidden="false" outlineLevel="0" max="8451" min="8451" style="98" width="8.5"/>
    <col collapsed="false" customWidth="true" hidden="false" outlineLevel="0" max="8452" min="8452" style="98" width="8.1"/>
    <col collapsed="false" customWidth="true" hidden="false" outlineLevel="0" max="8453" min="8453" style="98" width="8.5"/>
    <col collapsed="false" customWidth="true" hidden="false" outlineLevel="0" max="8454" min="8454" style="98" width="8.1"/>
    <col collapsed="false" customWidth="true" hidden="false" outlineLevel="0" max="8455" min="8455" style="98" width="8.5"/>
    <col collapsed="false" customWidth="true" hidden="false" outlineLevel="0" max="8458" min="8456" style="98" width="8.1"/>
    <col collapsed="false" customWidth="true" hidden="false" outlineLevel="0" max="8459" min="8459" style="98" width="8.5"/>
    <col collapsed="false" customWidth="true" hidden="false" outlineLevel="0" max="8460" min="8460" style="98" width="8.1"/>
    <col collapsed="false" customWidth="true" hidden="false" outlineLevel="0" max="8461" min="8461" style="98" width="8.5"/>
    <col collapsed="false" customWidth="true" hidden="false" outlineLevel="0" max="8462" min="8462" style="98" width="8.1"/>
    <col collapsed="false" customWidth="true" hidden="false" outlineLevel="0" max="8463" min="8463" style="98" width="8.5"/>
    <col collapsed="false" customWidth="true" hidden="false" outlineLevel="0" max="8464" min="8464" style="98" width="8.1"/>
    <col collapsed="false" customWidth="true" hidden="false" outlineLevel="0" max="8465" min="8465" style="98" width="8.5"/>
    <col collapsed="false" customWidth="true" hidden="false" outlineLevel="0" max="8466" min="8466" style="98" width="8.1"/>
    <col collapsed="false" customWidth="true" hidden="false" outlineLevel="0" max="8467" min="8467" style="98" width="8.5"/>
    <col collapsed="false" customWidth="true" hidden="false" outlineLevel="0" max="8470" min="8468" style="98" width="8.1"/>
    <col collapsed="false" customWidth="false" hidden="false" outlineLevel="0" max="8703" min="8471" style="98" width="9"/>
    <col collapsed="false" customWidth="true" hidden="false" outlineLevel="0" max="8705" min="8704" style="98" width="1.6"/>
    <col collapsed="false" customWidth="true" hidden="false" outlineLevel="0" max="8706" min="8706" style="98" width="13.6"/>
    <col collapsed="false" customWidth="true" hidden="false" outlineLevel="0" max="8707" min="8707" style="98" width="8.5"/>
    <col collapsed="false" customWidth="true" hidden="false" outlineLevel="0" max="8708" min="8708" style="98" width="8.1"/>
    <col collapsed="false" customWidth="true" hidden="false" outlineLevel="0" max="8709" min="8709" style="98" width="8.5"/>
    <col collapsed="false" customWidth="true" hidden="false" outlineLevel="0" max="8710" min="8710" style="98" width="8.1"/>
    <col collapsed="false" customWidth="true" hidden="false" outlineLevel="0" max="8711" min="8711" style="98" width="8.5"/>
    <col collapsed="false" customWidth="true" hidden="false" outlineLevel="0" max="8714" min="8712" style="98" width="8.1"/>
    <col collapsed="false" customWidth="true" hidden="false" outlineLevel="0" max="8715" min="8715" style="98" width="8.5"/>
    <col collapsed="false" customWidth="true" hidden="false" outlineLevel="0" max="8716" min="8716" style="98" width="8.1"/>
    <col collapsed="false" customWidth="true" hidden="false" outlineLevel="0" max="8717" min="8717" style="98" width="8.5"/>
    <col collapsed="false" customWidth="true" hidden="false" outlineLevel="0" max="8718" min="8718" style="98" width="8.1"/>
    <col collapsed="false" customWidth="true" hidden="false" outlineLevel="0" max="8719" min="8719" style="98" width="8.5"/>
    <col collapsed="false" customWidth="true" hidden="false" outlineLevel="0" max="8720" min="8720" style="98" width="8.1"/>
    <col collapsed="false" customWidth="true" hidden="false" outlineLevel="0" max="8721" min="8721" style="98" width="8.5"/>
    <col collapsed="false" customWidth="true" hidden="false" outlineLevel="0" max="8722" min="8722" style="98" width="8.1"/>
    <col collapsed="false" customWidth="true" hidden="false" outlineLevel="0" max="8723" min="8723" style="98" width="8.5"/>
    <col collapsed="false" customWidth="true" hidden="false" outlineLevel="0" max="8726" min="8724" style="98" width="8.1"/>
    <col collapsed="false" customWidth="false" hidden="false" outlineLevel="0" max="8959" min="8727" style="98" width="9"/>
    <col collapsed="false" customWidth="true" hidden="false" outlineLevel="0" max="8961" min="8960" style="98" width="1.6"/>
    <col collapsed="false" customWidth="true" hidden="false" outlineLevel="0" max="8962" min="8962" style="98" width="13.6"/>
    <col collapsed="false" customWidth="true" hidden="false" outlineLevel="0" max="8963" min="8963" style="98" width="8.5"/>
    <col collapsed="false" customWidth="true" hidden="false" outlineLevel="0" max="8964" min="8964" style="98" width="8.1"/>
    <col collapsed="false" customWidth="true" hidden="false" outlineLevel="0" max="8965" min="8965" style="98" width="8.5"/>
    <col collapsed="false" customWidth="true" hidden="false" outlineLevel="0" max="8966" min="8966" style="98" width="8.1"/>
    <col collapsed="false" customWidth="true" hidden="false" outlineLevel="0" max="8967" min="8967" style="98" width="8.5"/>
    <col collapsed="false" customWidth="true" hidden="false" outlineLevel="0" max="8970" min="8968" style="98" width="8.1"/>
    <col collapsed="false" customWidth="true" hidden="false" outlineLevel="0" max="8971" min="8971" style="98" width="8.5"/>
    <col collapsed="false" customWidth="true" hidden="false" outlineLevel="0" max="8972" min="8972" style="98" width="8.1"/>
    <col collapsed="false" customWidth="true" hidden="false" outlineLevel="0" max="8973" min="8973" style="98" width="8.5"/>
    <col collapsed="false" customWidth="true" hidden="false" outlineLevel="0" max="8974" min="8974" style="98" width="8.1"/>
    <col collapsed="false" customWidth="true" hidden="false" outlineLevel="0" max="8975" min="8975" style="98" width="8.5"/>
    <col collapsed="false" customWidth="true" hidden="false" outlineLevel="0" max="8976" min="8976" style="98" width="8.1"/>
    <col collapsed="false" customWidth="true" hidden="false" outlineLevel="0" max="8977" min="8977" style="98" width="8.5"/>
    <col collapsed="false" customWidth="true" hidden="false" outlineLevel="0" max="8978" min="8978" style="98" width="8.1"/>
    <col collapsed="false" customWidth="true" hidden="false" outlineLevel="0" max="8979" min="8979" style="98" width="8.5"/>
    <col collapsed="false" customWidth="true" hidden="false" outlineLevel="0" max="8982" min="8980" style="98" width="8.1"/>
    <col collapsed="false" customWidth="false" hidden="false" outlineLevel="0" max="9215" min="8983" style="98" width="9"/>
    <col collapsed="false" customWidth="true" hidden="false" outlineLevel="0" max="9217" min="9216" style="98" width="1.6"/>
    <col collapsed="false" customWidth="true" hidden="false" outlineLevel="0" max="9218" min="9218" style="98" width="13.6"/>
    <col collapsed="false" customWidth="true" hidden="false" outlineLevel="0" max="9219" min="9219" style="98" width="8.5"/>
    <col collapsed="false" customWidth="true" hidden="false" outlineLevel="0" max="9220" min="9220" style="98" width="8.1"/>
    <col collapsed="false" customWidth="true" hidden="false" outlineLevel="0" max="9221" min="9221" style="98" width="8.5"/>
    <col collapsed="false" customWidth="true" hidden="false" outlineLevel="0" max="9222" min="9222" style="98" width="8.1"/>
    <col collapsed="false" customWidth="true" hidden="false" outlineLevel="0" max="9223" min="9223" style="98" width="8.5"/>
    <col collapsed="false" customWidth="true" hidden="false" outlineLevel="0" max="9226" min="9224" style="98" width="8.1"/>
    <col collapsed="false" customWidth="true" hidden="false" outlineLevel="0" max="9227" min="9227" style="98" width="8.5"/>
    <col collapsed="false" customWidth="true" hidden="false" outlineLevel="0" max="9228" min="9228" style="98" width="8.1"/>
    <col collapsed="false" customWidth="true" hidden="false" outlineLevel="0" max="9229" min="9229" style="98" width="8.5"/>
    <col collapsed="false" customWidth="true" hidden="false" outlineLevel="0" max="9230" min="9230" style="98" width="8.1"/>
    <col collapsed="false" customWidth="true" hidden="false" outlineLevel="0" max="9231" min="9231" style="98" width="8.5"/>
    <col collapsed="false" customWidth="true" hidden="false" outlineLevel="0" max="9232" min="9232" style="98" width="8.1"/>
    <col collapsed="false" customWidth="true" hidden="false" outlineLevel="0" max="9233" min="9233" style="98" width="8.5"/>
    <col collapsed="false" customWidth="true" hidden="false" outlineLevel="0" max="9234" min="9234" style="98" width="8.1"/>
    <col collapsed="false" customWidth="true" hidden="false" outlineLevel="0" max="9235" min="9235" style="98" width="8.5"/>
    <col collapsed="false" customWidth="true" hidden="false" outlineLevel="0" max="9238" min="9236" style="98" width="8.1"/>
    <col collapsed="false" customWidth="false" hidden="false" outlineLevel="0" max="9471" min="9239" style="98" width="9"/>
    <col collapsed="false" customWidth="true" hidden="false" outlineLevel="0" max="9473" min="9472" style="98" width="1.6"/>
    <col collapsed="false" customWidth="true" hidden="false" outlineLevel="0" max="9474" min="9474" style="98" width="13.6"/>
    <col collapsed="false" customWidth="true" hidden="false" outlineLevel="0" max="9475" min="9475" style="98" width="8.5"/>
    <col collapsed="false" customWidth="true" hidden="false" outlineLevel="0" max="9476" min="9476" style="98" width="8.1"/>
    <col collapsed="false" customWidth="true" hidden="false" outlineLevel="0" max="9477" min="9477" style="98" width="8.5"/>
    <col collapsed="false" customWidth="true" hidden="false" outlineLevel="0" max="9478" min="9478" style="98" width="8.1"/>
    <col collapsed="false" customWidth="true" hidden="false" outlineLevel="0" max="9479" min="9479" style="98" width="8.5"/>
    <col collapsed="false" customWidth="true" hidden="false" outlineLevel="0" max="9482" min="9480" style="98" width="8.1"/>
    <col collapsed="false" customWidth="true" hidden="false" outlineLevel="0" max="9483" min="9483" style="98" width="8.5"/>
    <col collapsed="false" customWidth="true" hidden="false" outlineLevel="0" max="9484" min="9484" style="98" width="8.1"/>
    <col collapsed="false" customWidth="true" hidden="false" outlineLevel="0" max="9485" min="9485" style="98" width="8.5"/>
    <col collapsed="false" customWidth="true" hidden="false" outlineLevel="0" max="9486" min="9486" style="98" width="8.1"/>
    <col collapsed="false" customWidth="true" hidden="false" outlineLevel="0" max="9487" min="9487" style="98" width="8.5"/>
    <col collapsed="false" customWidth="true" hidden="false" outlineLevel="0" max="9488" min="9488" style="98" width="8.1"/>
    <col collapsed="false" customWidth="true" hidden="false" outlineLevel="0" max="9489" min="9489" style="98" width="8.5"/>
    <col collapsed="false" customWidth="true" hidden="false" outlineLevel="0" max="9490" min="9490" style="98" width="8.1"/>
    <col collapsed="false" customWidth="true" hidden="false" outlineLevel="0" max="9491" min="9491" style="98" width="8.5"/>
    <col collapsed="false" customWidth="true" hidden="false" outlineLevel="0" max="9494" min="9492" style="98" width="8.1"/>
    <col collapsed="false" customWidth="false" hidden="false" outlineLevel="0" max="9727" min="9495" style="98" width="9"/>
    <col collapsed="false" customWidth="true" hidden="false" outlineLevel="0" max="9729" min="9728" style="98" width="1.6"/>
    <col collapsed="false" customWidth="true" hidden="false" outlineLevel="0" max="9730" min="9730" style="98" width="13.6"/>
    <col collapsed="false" customWidth="true" hidden="false" outlineLevel="0" max="9731" min="9731" style="98" width="8.5"/>
    <col collapsed="false" customWidth="true" hidden="false" outlineLevel="0" max="9732" min="9732" style="98" width="8.1"/>
    <col collapsed="false" customWidth="true" hidden="false" outlineLevel="0" max="9733" min="9733" style="98" width="8.5"/>
    <col collapsed="false" customWidth="true" hidden="false" outlineLevel="0" max="9734" min="9734" style="98" width="8.1"/>
    <col collapsed="false" customWidth="true" hidden="false" outlineLevel="0" max="9735" min="9735" style="98" width="8.5"/>
    <col collapsed="false" customWidth="true" hidden="false" outlineLevel="0" max="9738" min="9736" style="98" width="8.1"/>
    <col collapsed="false" customWidth="true" hidden="false" outlineLevel="0" max="9739" min="9739" style="98" width="8.5"/>
    <col collapsed="false" customWidth="true" hidden="false" outlineLevel="0" max="9740" min="9740" style="98" width="8.1"/>
    <col collapsed="false" customWidth="true" hidden="false" outlineLevel="0" max="9741" min="9741" style="98" width="8.5"/>
    <col collapsed="false" customWidth="true" hidden="false" outlineLevel="0" max="9742" min="9742" style="98" width="8.1"/>
    <col collapsed="false" customWidth="true" hidden="false" outlineLevel="0" max="9743" min="9743" style="98" width="8.5"/>
    <col collapsed="false" customWidth="true" hidden="false" outlineLevel="0" max="9744" min="9744" style="98" width="8.1"/>
    <col collapsed="false" customWidth="true" hidden="false" outlineLevel="0" max="9745" min="9745" style="98" width="8.5"/>
    <col collapsed="false" customWidth="true" hidden="false" outlineLevel="0" max="9746" min="9746" style="98" width="8.1"/>
    <col collapsed="false" customWidth="true" hidden="false" outlineLevel="0" max="9747" min="9747" style="98" width="8.5"/>
    <col collapsed="false" customWidth="true" hidden="false" outlineLevel="0" max="9750" min="9748" style="98" width="8.1"/>
    <col collapsed="false" customWidth="false" hidden="false" outlineLevel="0" max="9983" min="9751" style="98" width="9"/>
    <col collapsed="false" customWidth="true" hidden="false" outlineLevel="0" max="9985" min="9984" style="98" width="1.6"/>
    <col collapsed="false" customWidth="true" hidden="false" outlineLevel="0" max="9986" min="9986" style="98" width="13.6"/>
    <col collapsed="false" customWidth="true" hidden="false" outlineLevel="0" max="9987" min="9987" style="98" width="8.5"/>
    <col collapsed="false" customWidth="true" hidden="false" outlineLevel="0" max="9988" min="9988" style="98" width="8.1"/>
    <col collapsed="false" customWidth="true" hidden="false" outlineLevel="0" max="9989" min="9989" style="98" width="8.5"/>
    <col collapsed="false" customWidth="true" hidden="false" outlineLevel="0" max="9990" min="9990" style="98" width="8.1"/>
    <col collapsed="false" customWidth="true" hidden="false" outlineLevel="0" max="9991" min="9991" style="98" width="8.5"/>
    <col collapsed="false" customWidth="true" hidden="false" outlineLevel="0" max="9994" min="9992" style="98" width="8.1"/>
    <col collapsed="false" customWidth="true" hidden="false" outlineLevel="0" max="9995" min="9995" style="98" width="8.5"/>
    <col collapsed="false" customWidth="true" hidden="false" outlineLevel="0" max="9996" min="9996" style="98" width="8.1"/>
    <col collapsed="false" customWidth="true" hidden="false" outlineLevel="0" max="9997" min="9997" style="98" width="8.5"/>
    <col collapsed="false" customWidth="true" hidden="false" outlineLevel="0" max="9998" min="9998" style="98" width="8.1"/>
    <col collapsed="false" customWidth="true" hidden="false" outlineLevel="0" max="9999" min="9999" style="98" width="8.5"/>
    <col collapsed="false" customWidth="true" hidden="false" outlineLevel="0" max="10000" min="10000" style="98" width="8.1"/>
    <col collapsed="false" customWidth="true" hidden="false" outlineLevel="0" max="10001" min="10001" style="98" width="8.5"/>
    <col collapsed="false" customWidth="true" hidden="false" outlineLevel="0" max="10002" min="10002" style="98" width="8.1"/>
    <col collapsed="false" customWidth="true" hidden="false" outlineLevel="0" max="10003" min="10003" style="98" width="8.5"/>
    <col collapsed="false" customWidth="true" hidden="false" outlineLevel="0" max="10006" min="10004" style="98" width="8.1"/>
    <col collapsed="false" customWidth="false" hidden="false" outlineLevel="0" max="10239" min="10007" style="98" width="9"/>
    <col collapsed="false" customWidth="true" hidden="false" outlineLevel="0" max="10241" min="10240" style="98" width="1.6"/>
    <col collapsed="false" customWidth="true" hidden="false" outlineLevel="0" max="10242" min="10242" style="98" width="13.6"/>
    <col collapsed="false" customWidth="true" hidden="false" outlineLevel="0" max="10243" min="10243" style="98" width="8.5"/>
    <col collapsed="false" customWidth="true" hidden="false" outlineLevel="0" max="10244" min="10244" style="98" width="8.1"/>
    <col collapsed="false" customWidth="true" hidden="false" outlineLevel="0" max="10245" min="10245" style="98" width="8.5"/>
    <col collapsed="false" customWidth="true" hidden="false" outlineLevel="0" max="10246" min="10246" style="98" width="8.1"/>
    <col collapsed="false" customWidth="true" hidden="false" outlineLevel="0" max="10247" min="10247" style="98" width="8.5"/>
    <col collapsed="false" customWidth="true" hidden="false" outlineLevel="0" max="10250" min="10248" style="98" width="8.1"/>
    <col collapsed="false" customWidth="true" hidden="false" outlineLevel="0" max="10251" min="10251" style="98" width="8.5"/>
    <col collapsed="false" customWidth="true" hidden="false" outlineLevel="0" max="10252" min="10252" style="98" width="8.1"/>
    <col collapsed="false" customWidth="true" hidden="false" outlineLevel="0" max="10253" min="10253" style="98" width="8.5"/>
    <col collapsed="false" customWidth="true" hidden="false" outlineLevel="0" max="10254" min="10254" style="98" width="8.1"/>
    <col collapsed="false" customWidth="true" hidden="false" outlineLevel="0" max="10255" min="10255" style="98" width="8.5"/>
    <col collapsed="false" customWidth="true" hidden="false" outlineLevel="0" max="10256" min="10256" style="98" width="8.1"/>
    <col collapsed="false" customWidth="true" hidden="false" outlineLevel="0" max="10257" min="10257" style="98" width="8.5"/>
    <col collapsed="false" customWidth="true" hidden="false" outlineLevel="0" max="10258" min="10258" style="98" width="8.1"/>
    <col collapsed="false" customWidth="true" hidden="false" outlineLevel="0" max="10259" min="10259" style="98" width="8.5"/>
    <col collapsed="false" customWidth="true" hidden="false" outlineLevel="0" max="10262" min="10260" style="98" width="8.1"/>
    <col collapsed="false" customWidth="false" hidden="false" outlineLevel="0" max="10495" min="10263" style="98" width="9"/>
    <col collapsed="false" customWidth="true" hidden="false" outlineLevel="0" max="10497" min="10496" style="98" width="1.6"/>
    <col collapsed="false" customWidth="true" hidden="false" outlineLevel="0" max="10498" min="10498" style="98" width="13.6"/>
    <col collapsed="false" customWidth="true" hidden="false" outlineLevel="0" max="10499" min="10499" style="98" width="8.5"/>
    <col collapsed="false" customWidth="true" hidden="false" outlineLevel="0" max="10500" min="10500" style="98" width="8.1"/>
    <col collapsed="false" customWidth="true" hidden="false" outlineLevel="0" max="10501" min="10501" style="98" width="8.5"/>
    <col collapsed="false" customWidth="true" hidden="false" outlineLevel="0" max="10502" min="10502" style="98" width="8.1"/>
    <col collapsed="false" customWidth="true" hidden="false" outlineLevel="0" max="10503" min="10503" style="98" width="8.5"/>
    <col collapsed="false" customWidth="true" hidden="false" outlineLevel="0" max="10506" min="10504" style="98" width="8.1"/>
    <col collapsed="false" customWidth="true" hidden="false" outlineLevel="0" max="10507" min="10507" style="98" width="8.5"/>
    <col collapsed="false" customWidth="true" hidden="false" outlineLevel="0" max="10508" min="10508" style="98" width="8.1"/>
    <col collapsed="false" customWidth="true" hidden="false" outlineLevel="0" max="10509" min="10509" style="98" width="8.5"/>
    <col collapsed="false" customWidth="true" hidden="false" outlineLevel="0" max="10510" min="10510" style="98" width="8.1"/>
    <col collapsed="false" customWidth="true" hidden="false" outlineLevel="0" max="10511" min="10511" style="98" width="8.5"/>
    <col collapsed="false" customWidth="true" hidden="false" outlineLevel="0" max="10512" min="10512" style="98" width="8.1"/>
    <col collapsed="false" customWidth="true" hidden="false" outlineLevel="0" max="10513" min="10513" style="98" width="8.5"/>
    <col collapsed="false" customWidth="true" hidden="false" outlineLevel="0" max="10514" min="10514" style="98" width="8.1"/>
    <col collapsed="false" customWidth="true" hidden="false" outlineLevel="0" max="10515" min="10515" style="98" width="8.5"/>
    <col collapsed="false" customWidth="true" hidden="false" outlineLevel="0" max="10518" min="10516" style="98" width="8.1"/>
    <col collapsed="false" customWidth="false" hidden="false" outlineLevel="0" max="10751" min="10519" style="98" width="9"/>
    <col collapsed="false" customWidth="true" hidden="false" outlineLevel="0" max="10753" min="10752" style="98" width="1.6"/>
    <col collapsed="false" customWidth="true" hidden="false" outlineLevel="0" max="10754" min="10754" style="98" width="13.6"/>
    <col collapsed="false" customWidth="true" hidden="false" outlineLevel="0" max="10755" min="10755" style="98" width="8.5"/>
    <col collapsed="false" customWidth="true" hidden="false" outlineLevel="0" max="10756" min="10756" style="98" width="8.1"/>
    <col collapsed="false" customWidth="true" hidden="false" outlineLevel="0" max="10757" min="10757" style="98" width="8.5"/>
    <col collapsed="false" customWidth="true" hidden="false" outlineLevel="0" max="10758" min="10758" style="98" width="8.1"/>
    <col collapsed="false" customWidth="true" hidden="false" outlineLevel="0" max="10759" min="10759" style="98" width="8.5"/>
    <col collapsed="false" customWidth="true" hidden="false" outlineLevel="0" max="10762" min="10760" style="98" width="8.1"/>
    <col collapsed="false" customWidth="true" hidden="false" outlineLevel="0" max="10763" min="10763" style="98" width="8.5"/>
    <col collapsed="false" customWidth="true" hidden="false" outlineLevel="0" max="10764" min="10764" style="98" width="8.1"/>
    <col collapsed="false" customWidth="true" hidden="false" outlineLevel="0" max="10765" min="10765" style="98" width="8.5"/>
    <col collapsed="false" customWidth="true" hidden="false" outlineLevel="0" max="10766" min="10766" style="98" width="8.1"/>
    <col collapsed="false" customWidth="true" hidden="false" outlineLevel="0" max="10767" min="10767" style="98" width="8.5"/>
    <col collapsed="false" customWidth="true" hidden="false" outlineLevel="0" max="10768" min="10768" style="98" width="8.1"/>
    <col collapsed="false" customWidth="true" hidden="false" outlineLevel="0" max="10769" min="10769" style="98" width="8.5"/>
    <col collapsed="false" customWidth="true" hidden="false" outlineLevel="0" max="10770" min="10770" style="98" width="8.1"/>
    <col collapsed="false" customWidth="true" hidden="false" outlineLevel="0" max="10771" min="10771" style="98" width="8.5"/>
    <col collapsed="false" customWidth="true" hidden="false" outlineLevel="0" max="10774" min="10772" style="98" width="8.1"/>
    <col collapsed="false" customWidth="false" hidden="false" outlineLevel="0" max="11007" min="10775" style="98" width="9"/>
    <col collapsed="false" customWidth="true" hidden="false" outlineLevel="0" max="11009" min="11008" style="98" width="1.6"/>
    <col collapsed="false" customWidth="true" hidden="false" outlineLevel="0" max="11010" min="11010" style="98" width="13.6"/>
    <col collapsed="false" customWidth="true" hidden="false" outlineLevel="0" max="11011" min="11011" style="98" width="8.5"/>
    <col collapsed="false" customWidth="true" hidden="false" outlineLevel="0" max="11012" min="11012" style="98" width="8.1"/>
    <col collapsed="false" customWidth="true" hidden="false" outlineLevel="0" max="11013" min="11013" style="98" width="8.5"/>
    <col collapsed="false" customWidth="true" hidden="false" outlineLevel="0" max="11014" min="11014" style="98" width="8.1"/>
    <col collapsed="false" customWidth="true" hidden="false" outlineLevel="0" max="11015" min="11015" style="98" width="8.5"/>
    <col collapsed="false" customWidth="true" hidden="false" outlineLevel="0" max="11018" min="11016" style="98" width="8.1"/>
    <col collapsed="false" customWidth="true" hidden="false" outlineLevel="0" max="11019" min="11019" style="98" width="8.5"/>
    <col collapsed="false" customWidth="true" hidden="false" outlineLevel="0" max="11020" min="11020" style="98" width="8.1"/>
    <col collapsed="false" customWidth="true" hidden="false" outlineLevel="0" max="11021" min="11021" style="98" width="8.5"/>
    <col collapsed="false" customWidth="true" hidden="false" outlineLevel="0" max="11022" min="11022" style="98" width="8.1"/>
    <col collapsed="false" customWidth="true" hidden="false" outlineLevel="0" max="11023" min="11023" style="98" width="8.5"/>
    <col collapsed="false" customWidth="true" hidden="false" outlineLevel="0" max="11024" min="11024" style="98" width="8.1"/>
    <col collapsed="false" customWidth="true" hidden="false" outlineLevel="0" max="11025" min="11025" style="98" width="8.5"/>
    <col collapsed="false" customWidth="true" hidden="false" outlineLevel="0" max="11026" min="11026" style="98" width="8.1"/>
    <col collapsed="false" customWidth="true" hidden="false" outlineLevel="0" max="11027" min="11027" style="98" width="8.5"/>
    <col collapsed="false" customWidth="true" hidden="false" outlineLevel="0" max="11030" min="11028" style="98" width="8.1"/>
    <col collapsed="false" customWidth="false" hidden="false" outlineLevel="0" max="11263" min="11031" style="98" width="9"/>
    <col collapsed="false" customWidth="true" hidden="false" outlineLevel="0" max="11265" min="11264" style="98" width="1.6"/>
    <col collapsed="false" customWidth="true" hidden="false" outlineLevel="0" max="11266" min="11266" style="98" width="13.6"/>
    <col collapsed="false" customWidth="true" hidden="false" outlineLevel="0" max="11267" min="11267" style="98" width="8.5"/>
    <col collapsed="false" customWidth="true" hidden="false" outlineLevel="0" max="11268" min="11268" style="98" width="8.1"/>
    <col collapsed="false" customWidth="true" hidden="false" outlineLevel="0" max="11269" min="11269" style="98" width="8.5"/>
    <col collapsed="false" customWidth="true" hidden="false" outlineLevel="0" max="11270" min="11270" style="98" width="8.1"/>
    <col collapsed="false" customWidth="true" hidden="false" outlineLevel="0" max="11271" min="11271" style="98" width="8.5"/>
    <col collapsed="false" customWidth="true" hidden="false" outlineLevel="0" max="11274" min="11272" style="98" width="8.1"/>
    <col collapsed="false" customWidth="true" hidden="false" outlineLevel="0" max="11275" min="11275" style="98" width="8.5"/>
    <col collapsed="false" customWidth="true" hidden="false" outlineLevel="0" max="11276" min="11276" style="98" width="8.1"/>
    <col collapsed="false" customWidth="true" hidden="false" outlineLevel="0" max="11277" min="11277" style="98" width="8.5"/>
    <col collapsed="false" customWidth="true" hidden="false" outlineLevel="0" max="11278" min="11278" style="98" width="8.1"/>
    <col collapsed="false" customWidth="true" hidden="false" outlineLevel="0" max="11279" min="11279" style="98" width="8.5"/>
    <col collapsed="false" customWidth="true" hidden="false" outlineLevel="0" max="11280" min="11280" style="98" width="8.1"/>
    <col collapsed="false" customWidth="true" hidden="false" outlineLevel="0" max="11281" min="11281" style="98" width="8.5"/>
    <col collapsed="false" customWidth="true" hidden="false" outlineLevel="0" max="11282" min="11282" style="98" width="8.1"/>
    <col collapsed="false" customWidth="true" hidden="false" outlineLevel="0" max="11283" min="11283" style="98" width="8.5"/>
    <col collapsed="false" customWidth="true" hidden="false" outlineLevel="0" max="11286" min="11284" style="98" width="8.1"/>
    <col collapsed="false" customWidth="false" hidden="false" outlineLevel="0" max="11519" min="11287" style="98" width="9"/>
    <col collapsed="false" customWidth="true" hidden="false" outlineLevel="0" max="11521" min="11520" style="98" width="1.6"/>
    <col collapsed="false" customWidth="true" hidden="false" outlineLevel="0" max="11522" min="11522" style="98" width="13.6"/>
    <col collapsed="false" customWidth="true" hidden="false" outlineLevel="0" max="11523" min="11523" style="98" width="8.5"/>
    <col collapsed="false" customWidth="true" hidden="false" outlineLevel="0" max="11524" min="11524" style="98" width="8.1"/>
    <col collapsed="false" customWidth="true" hidden="false" outlineLevel="0" max="11525" min="11525" style="98" width="8.5"/>
    <col collapsed="false" customWidth="true" hidden="false" outlineLevel="0" max="11526" min="11526" style="98" width="8.1"/>
    <col collapsed="false" customWidth="true" hidden="false" outlineLevel="0" max="11527" min="11527" style="98" width="8.5"/>
    <col collapsed="false" customWidth="true" hidden="false" outlineLevel="0" max="11530" min="11528" style="98" width="8.1"/>
    <col collapsed="false" customWidth="true" hidden="false" outlineLevel="0" max="11531" min="11531" style="98" width="8.5"/>
    <col collapsed="false" customWidth="true" hidden="false" outlineLevel="0" max="11532" min="11532" style="98" width="8.1"/>
    <col collapsed="false" customWidth="true" hidden="false" outlineLevel="0" max="11533" min="11533" style="98" width="8.5"/>
    <col collapsed="false" customWidth="true" hidden="false" outlineLevel="0" max="11534" min="11534" style="98" width="8.1"/>
    <col collapsed="false" customWidth="true" hidden="false" outlineLevel="0" max="11535" min="11535" style="98" width="8.5"/>
    <col collapsed="false" customWidth="true" hidden="false" outlineLevel="0" max="11536" min="11536" style="98" width="8.1"/>
    <col collapsed="false" customWidth="true" hidden="false" outlineLevel="0" max="11537" min="11537" style="98" width="8.5"/>
    <col collapsed="false" customWidth="true" hidden="false" outlineLevel="0" max="11538" min="11538" style="98" width="8.1"/>
    <col collapsed="false" customWidth="true" hidden="false" outlineLevel="0" max="11539" min="11539" style="98" width="8.5"/>
    <col collapsed="false" customWidth="true" hidden="false" outlineLevel="0" max="11542" min="11540" style="98" width="8.1"/>
    <col collapsed="false" customWidth="false" hidden="false" outlineLevel="0" max="11775" min="11543" style="98" width="9"/>
    <col collapsed="false" customWidth="true" hidden="false" outlineLevel="0" max="11777" min="11776" style="98" width="1.6"/>
    <col collapsed="false" customWidth="true" hidden="false" outlineLevel="0" max="11778" min="11778" style="98" width="13.6"/>
    <col collapsed="false" customWidth="true" hidden="false" outlineLevel="0" max="11779" min="11779" style="98" width="8.5"/>
    <col collapsed="false" customWidth="true" hidden="false" outlineLevel="0" max="11780" min="11780" style="98" width="8.1"/>
    <col collapsed="false" customWidth="true" hidden="false" outlineLevel="0" max="11781" min="11781" style="98" width="8.5"/>
    <col collapsed="false" customWidth="true" hidden="false" outlineLevel="0" max="11782" min="11782" style="98" width="8.1"/>
    <col collapsed="false" customWidth="true" hidden="false" outlineLevel="0" max="11783" min="11783" style="98" width="8.5"/>
    <col collapsed="false" customWidth="true" hidden="false" outlineLevel="0" max="11786" min="11784" style="98" width="8.1"/>
    <col collapsed="false" customWidth="true" hidden="false" outlineLevel="0" max="11787" min="11787" style="98" width="8.5"/>
    <col collapsed="false" customWidth="true" hidden="false" outlineLevel="0" max="11788" min="11788" style="98" width="8.1"/>
    <col collapsed="false" customWidth="true" hidden="false" outlineLevel="0" max="11789" min="11789" style="98" width="8.5"/>
    <col collapsed="false" customWidth="true" hidden="false" outlineLevel="0" max="11790" min="11790" style="98" width="8.1"/>
    <col collapsed="false" customWidth="true" hidden="false" outlineLevel="0" max="11791" min="11791" style="98" width="8.5"/>
    <col collapsed="false" customWidth="true" hidden="false" outlineLevel="0" max="11792" min="11792" style="98" width="8.1"/>
    <col collapsed="false" customWidth="true" hidden="false" outlineLevel="0" max="11793" min="11793" style="98" width="8.5"/>
    <col collapsed="false" customWidth="true" hidden="false" outlineLevel="0" max="11794" min="11794" style="98" width="8.1"/>
    <col collapsed="false" customWidth="true" hidden="false" outlineLevel="0" max="11795" min="11795" style="98" width="8.5"/>
    <col collapsed="false" customWidth="true" hidden="false" outlineLevel="0" max="11798" min="11796" style="98" width="8.1"/>
    <col collapsed="false" customWidth="false" hidden="false" outlineLevel="0" max="12031" min="11799" style="98" width="9"/>
    <col collapsed="false" customWidth="true" hidden="false" outlineLevel="0" max="12033" min="12032" style="98" width="1.6"/>
    <col collapsed="false" customWidth="true" hidden="false" outlineLevel="0" max="12034" min="12034" style="98" width="13.6"/>
    <col collapsed="false" customWidth="true" hidden="false" outlineLevel="0" max="12035" min="12035" style="98" width="8.5"/>
    <col collapsed="false" customWidth="true" hidden="false" outlineLevel="0" max="12036" min="12036" style="98" width="8.1"/>
    <col collapsed="false" customWidth="true" hidden="false" outlineLevel="0" max="12037" min="12037" style="98" width="8.5"/>
    <col collapsed="false" customWidth="true" hidden="false" outlineLevel="0" max="12038" min="12038" style="98" width="8.1"/>
    <col collapsed="false" customWidth="true" hidden="false" outlineLevel="0" max="12039" min="12039" style="98" width="8.5"/>
    <col collapsed="false" customWidth="true" hidden="false" outlineLevel="0" max="12042" min="12040" style="98" width="8.1"/>
    <col collapsed="false" customWidth="true" hidden="false" outlineLevel="0" max="12043" min="12043" style="98" width="8.5"/>
    <col collapsed="false" customWidth="true" hidden="false" outlineLevel="0" max="12044" min="12044" style="98" width="8.1"/>
    <col collapsed="false" customWidth="true" hidden="false" outlineLevel="0" max="12045" min="12045" style="98" width="8.5"/>
    <col collapsed="false" customWidth="true" hidden="false" outlineLevel="0" max="12046" min="12046" style="98" width="8.1"/>
    <col collapsed="false" customWidth="true" hidden="false" outlineLevel="0" max="12047" min="12047" style="98" width="8.5"/>
    <col collapsed="false" customWidth="true" hidden="false" outlineLevel="0" max="12048" min="12048" style="98" width="8.1"/>
    <col collapsed="false" customWidth="true" hidden="false" outlineLevel="0" max="12049" min="12049" style="98" width="8.5"/>
    <col collapsed="false" customWidth="true" hidden="false" outlineLevel="0" max="12050" min="12050" style="98" width="8.1"/>
    <col collapsed="false" customWidth="true" hidden="false" outlineLevel="0" max="12051" min="12051" style="98" width="8.5"/>
    <col collapsed="false" customWidth="true" hidden="false" outlineLevel="0" max="12054" min="12052" style="98" width="8.1"/>
    <col collapsed="false" customWidth="false" hidden="false" outlineLevel="0" max="12287" min="12055" style="98" width="9"/>
    <col collapsed="false" customWidth="true" hidden="false" outlineLevel="0" max="12289" min="12288" style="98" width="1.6"/>
    <col collapsed="false" customWidth="true" hidden="false" outlineLevel="0" max="12290" min="12290" style="98" width="13.6"/>
    <col collapsed="false" customWidth="true" hidden="false" outlineLevel="0" max="12291" min="12291" style="98" width="8.5"/>
    <col collapsed="false" customWidth="true" hidden="false" outlineLevel="0" max="12292" min="12292" style="98" width="8.1"/>
    <col collapsed="false" customWidth="true" hidden="false" outlineLevel="0" max="12293" min="12293" style="98" width="8.5"/>
    <col collapsed="false" customWidth="true" hidden="false" outlineLevel="0" max="12294" min="12294" style="98" width="8.1"/>
    <col collapsed="false" customWidth="true" hidden="false" outlineLevel="0" max="12295" min="12295" style="98" width="8.5"/>
    <col collapsed="false" customWidth="true" hidden="false" outlineLevel="0" max="12298" min="12296" style="98" width="8.1"/>
    <col collapsed="false" customWidth="true" hidden="false" outlineLevel="0" max="12299" min="12299" style="98" width="8.5"/>
    <col collapsed="false" customWidth="true" hidden="false" outlineLevel="0" max="12300" min="12300" style="98" width="8.1"/>
    <col collapsed="false" customWidth="true" hidden="false" outlineLevel="0" max="12301" min="12301" style="98" width="8.5"/>
    <col collapsed="false" customWidth="true" hidden="false" outlineLevel="0" max="12302" min="12302" style="98" width="8.1"/>
    <col collapsed="false" customWidth="true" hidden="false" outlineLevel="0" max="12303" min="12303" style="98" width="8.5"/>
    <col collapsed="false" customWidth="true" hidden="false" outlineLevel="0" max="12304" min="12304" style="98" width="8.1"/>
    <col collapsed="false" customWidth="true" hidden="false" outlineLevel="0" max="12305" min="12305" style="98" width="8.5"/>
    <col collapsed="false" customWidth="true" hidden="false" outlineLevel="0" max="12306" min="12306" style="98" width="8.1"/>
    <col collapsed="false" customWidth="true" hidden="false" outlineLevel="0" max="12307" min="12307" style="98" width="8.5"/>
    <col collapsed="false" customWidth="true" hidden="false" outlineLevel="0" max="12310" min="12308" style="98" width="8.1"/>
    <col collapsed="false" customWidth="false" hidden="false" outlineLevel="0" max="12543" min="12311" style="98" width="9"/>
    <col collapsed="false" customWidth="true" hidden="false" outlineLevel="0" max="12545" min="12544" style="98" width="1.6"/>
    <col collapsed="false" customWidth="true" hidden="false" outlineLevel="0" max="12546" min="12546" style="98" width="13.6"/>
    <col collapsed="false" customWidth="true" hidden="false" outlineLevel="0" max="12547" min="12547" style="98" width="8.5"/>
    <col collapsed="false" customWidth="true" hidden="false" outlineLevel="0" max="12548" min="12548" style="98" width="8.1"/>
    <col collapsed="false" customWidth="true" hidden="false" outlineLevel="0" max="12549" min="12549" style="98" width="8.5"/>
    <col collapsed="false" customWidth="true" hidden="false" outlineLevel="0" max="12550" min="12550" style="98" width="8.1"/>
    <col collapsed="false" customWidth="true" hidden="false" outlineLevel="0" max="12551" min="12551" style="98" width="8.5"/>
    <col collapsed="false" customWidth="true" hidden="false" outlineLevel="0" max="12554" min="12552" style="98" width="8.1"/>
    <col collapsed="false" customWidth="true" hidden="false" outlineLevel="0" max="12555" min="12555" style="98" width="8.5"/>
    <col collapsed="false" customWidth="true" hidden="false" outlineLevel="0" max="12556" min="12556" style="98" width="8.1"/>
    <col collapsed="false" customWidth="true" hidden="false" outlineLevel="0" max="12557" min="12557" style="98" width="8.5"/>
    <col collapsed="false" customWidth="true" hidden="false" outlineLevel="0" max="12558" min="12558" style="98" width="8.1"/>
    <col collapsed="false" customWidth="true" hidden="false" outlineLevel="0" max="12559" min="12559" style="98" width="8.5"/>
    <col collapsed="false" customWidth="true" hidden="false" outlineLevel="0" max="12560" min="12560" style="98" width="8.1"/>
    <col collapsed="false" customWidth="true" hidden="false" outlineLevel="0" max="12561" min="12561" style="98" width="8.5"/>
    <col collapsed="false" customWidth="true" hidden="false" outlineLevel="0" max="12562" min="12562" style="98" width="8.1"/>
    <col collapsed="false" customWidth="true" hidden="false" outlineLevel="0" max="12563" min="12563" style="98" width="8.5"/>
    <col collapsed="false" customWidth="true" hidden="false" outlineLevel="0" max="12566" min="12564" style="98" width="8.1"/>
    <col collapsed="false" customWidth="false" hidden="false" outlineLevel="0" max="12799" min="12567" style="98" width="9"/>
    <col collapsed="false" customWidth="true" hidden="false" outlineLevel="0" max="12801" min="12800" style="98" width="1.6"/>
    <col collapsed="false" customWidth="true" hidden="false" outlineLevel="0" max="12802" min="12802" style="98" width="13.6"/>
    <col collapsed="false" customWidth="true" hidden="false" outlineLevel="0" max="12803" min="12803" style="98" width="8.5"/>
    <col collapsed="false" customWidth="true" hidden="false" outlineLevel="0" max="12804" min="12804" style="98" width="8.1"/>
    <col collapsed="false" customWidth="true" hidden="false" outlineLevel="0" max="12805" min="12805" style="98" width="8.5"/>
    <col collapsed="false" customWidth="true" hidden="false" outlineLevel="0" max="12806" min="12806" style="98" width="8.1"/>
    <col collapsed="false" customWidth="true" hidden="false" outlineLevel="0" max="12807" min="12807" style="98" width="8.5"/>
    <col collapsed="false" customWidth="true" hidden="false" outlineLevel="0" max="12810" min="12808" style="98" width="8.1"/>
    <col collapsed="false" customWidth="true" hidden="false" outlineLevel="0" max="12811" min="12811" style="98" width="8.5"/>
    <col collapsed="false" customWidth="true" hidden="false" outlineLevel="0" max="12812" min="12812" style="98" width="8.1"/>
    <col collapsed="false" customWidth="true" hidden="false" outlineLevel="0" max="12813" min="12813" style="98" width="8.5"/>
    <col collapsed="false" customWidth="true" hidden="false" outlineLevel="0" max="12814" min="12814" style="98" width="8.1"/>
    <col collapsed="false" customWidth="true" hidden="false" outlineLevel="0" max="12815" min="12815" style="98" width="8.5"/>
    <col collapsed="false" customWidth="true" hidden="false" outlineLevel="0" max="12816" min="12816" style="98" width="8.1"/>
    <col collapsed="false" customWidth="true" hidden="false" outlineLevel="0" max="12817" min="12817" style="98" width="8.5"/>
    <col collapsed="false" customWidth="true" hidden="false" outlineLevel="0" max="12818" min="12818" style="98" width="8.1"/>
    <col collapsed="false" customWidth="true" hidden="false" outlineLevel="0" max="12819" min="12819" style="98" width="8.5"/>
    <col collapsed="false" customWidth="true" hidden="false" outlineLevel="0" max="12822" min="12820" style="98" width="8.1"/>
    <col collapsed="false" customWidth="false" hidden="false" outlineLevel="0" max="13055" min="12823" style="98" width="9"/>
    <col collapsed="false" customWidth="true" hidden="false" outlineLevel="0" max="13057" min="13056" style="98" width="1.6"/>
    <col collapsed="false" customWidth="true" hidden="false" outlineLevel="0" max="13058" min="13058" style="98" width="13.6"/>
    <col collapsed="false" customWidth="true" hidden="false" outlineLevel="0" max="13059" min="13059" style="98" width="8.5"/>
    <col collapsed="false" customWidth="true" hidden="false" outlineLevel="0" max="13060" min="13060" style="98" width="8.1"/>
    <col collapsed="false" customWidth="true" hidden="false" outlineLevel="0" max="13061" min="13061" style="98" width="8.5"/>
    <col collapsed="false" customWidth="true" hidden="false" outlineLevel="0" max="13062" min="13062" style="98" width="8.1"/>
    <col collapsed="false" customWidth="true" hidden="false" outlineLevel="0" max="13063" min="13063" style="98" width="8.5"/>
    <col collapsed="false" customWidth="true" hidden="false" outlineLevel="0" max="13066" min="13064" style="98" width="8.1"/>
    <col collapsed="false" customWidth="true" hidden="false" outlineLevel="0" max="13067" min="13067" style="98" width="8.5"/>
    <col collapsed="false" customWidth="true" hidden="false" outlineLevel="0" max="13068" min="13068" style="98" width="8.1"/>
    <col collapsed="false" customWidth="true" hidden="false" outlineLevel="0" max="13069" min="13069" style="98" width="8.5"/>
    <col collapsed="false" customWidth="true" hidden="false" outlineLevel="0" max="13070" min="13070" style="98" width="8.1"/>
    <col collapsed="false" customWidth="true" hidden="false" outlineLevel="0" max="13071" min="13071" style="98" width="8.5"/>
    <col collapsed="false" customWidth="true" hidden="false" outlineLevel="0" max="13072" min="13072" style="98" width="8.1"/>
    <col collapsed="false" customWidth="true" hidden="false" outlineLevel="0" max="13073" min="13073" style="98" width="8.5"/>
    <col collapsed="false" customWidth="true" hidden="false" outlineLevel="0" max="13074" min="13074" style="98" width="8.1"/>
    <col collapsed="false" customWidth="true" hidden="false" outlineLevel="0" max="13075" min="13075" style="98" width="8.5"/>
    <col collapsed="false" customWidth="true" hidden="false" outlineLevel="0" max="13078" min="13076" style="98" width="8.1"/>
    <col collapsed="false" customWidth="false" hidden="false" outlineLevel="0" max="13311" min="13079" style="98" width="9"/>
    <col collapsed="false" customWidth="true" hidden="false" outlineLevel="0" max="13313" min="13312" style="98" width="1.6"/>
    <col collapsed="false" customWidth="true" hidden="false" outlineLevel="0" max="13314" min="13314" style="98" width="13.6"/>
    <col collapsed="false" customWidth="true" hidden="false" outlineLevel="0" max="13315" min="13315" style="98" width="8.5"/>
    <col collapsed="false" customWidth="true" hidden="false" outlineLevel="0" max="13316" min="13316" style="98" width="8.1"/>
    <col collapsed="false" customWidth="true" hidden="false" outlineLevel="0" max="13317" min="13317" style="98" width="8.5"/>
    <col collapsed="false" customWidth="true" hidden="false" outlineLevel="0" max="13318" min="13318" style="98" width="8.1"/>
    <col collapsed="false" customWidth="true" hidden="false" outlineLevel="0" max="13319" min="13319" style="98" width="8.5"/>
    <col collapsed="false" customWidth="true" hidden="false" outlineLevel="0" max="13322" min="13320" style="98" width="8.1"/>
    <col collapsed="false" customWidth="true" hidden="false" outlineLevel="0" max="13323" min="13323" style="98" width="8.5"/>
    <col collapsed="false" customWidth="true" hidden="false" outlineLevel="0" max="13324" min="13324" style="98" width="8.1"/>
    <col collapsed="false" customWidth="true" hidden="false" outlineLevel="0" max="13325" min="13325" style="98" width="8.5"/>
    <col collapsed="false" customWidth="true" hidden="false" outlineLevel="0" max="13326" min="13326" style="98" width="8.1"/>
    <col collapsed="false" customWidth="true" hidden="false" outlineLevel="0" max="13327" min="13327" style="98" width="8.5"/>
    <col collapsed="false" customWidth="true" hidden="false" outlineLevel="0" max="13328" min="13328" style="98" width="8.1"/>
    <col collapsed="false" customWidth="true" hidden="false" outlineLevel="0" max="13329" min="13329" style="98" width="8.5"/>
    <col collapsed="false" customWidth="true" hidden="false" outlineLevel="0" max="13330" min="13330" style="98" width="8.1"/>
    <col collapsed="false" customWidth="true" hidden="false" outlineLevel="0" max="13331" min="13331" style="98" width="8.5"/>
    <col collapsed="false" customWidth="true" hidden="false" outlineLevel="0" max="13334" min="13332" style="98" width="8.1"/>
    <col collapsed="false" customWidth="false" hidden="false" outlineLevel="0" max="13567" min="13335" style="98" width="9"/>
    <col collapsed="false" customWidth="true" hidden="false" outlineLevel="0" max="13569" min="13568" style="98" width="1.6"/>
    <col collapsed="false" customWidth="true" hidden="false" outlineLevel="0" max="13570" min="13570" style="98" width="13.6"/>
    <col collapsed="false" customWidth="true" hidden="false" outlineLevel="0" max="13571" min="13571" style="98" width="8.5"/>
    <col collapsed="false" customWidth="true" hidden="false" outlineLevel="0" max="13572" min="13572" style="98" width="8.1"/>
    <col collapsed="false" customWidth="true" hidden="false" outlineLevel="0" max="13573" min="13573" style="98" width="8.5"/>
    <col collapsed="false" customWidth="true" hidden="false" outlineLevel="0" max="13574" min="13574" style="98" width="8.1"/>
    <col collapsed="false" customWidth="true" hidden="false" outlineLevel="0" max="13575" min="13575" style="98" width="8.5"/>
    <col collapsed="false" customWidth="true" hidden="false" outlineLevel="0" max="13578" min="13576" style="98" width="8.1"/>
    <col collapsed="false" customWidth="true" hidden="false" outlineLevel="0" max="13579" min="13579" style="98" width="8.5"/>
    <col collapsed="false" customWidth="true" hidden="false" outlineLevel="0" max="13580" min="13580" style="98" width="8.1"/>
    <col collapsed="false" customWidth="true" hidden="false" outlineLevel="0" max="13581" min="13581" style="98" width="8.5"/>
    <col collapsed="false" customWidth="true" hidden="false" outlineLevel="0" max="13582" min="13582" style="98" width="8.1"/>
    <col collapsed="false" customWidth="true" hidden="false" outlineLevel="0" max="13583" min="13583" style="98" width="8.5"/>
    <col collapsed="false" customWidth="true" hidden="false" outlineLevel="0" max="13584" min="13584" style="98" width="8.1"/>
    <col collapsed="false" customWidth="true" hidden="false" outlineLevel="0" max="13585" min="13585" style="98" width="8.5"/>
    <col collapsed="false" customWidth="true" hidden="false" outlineLevel="0" max="13586" min="13586" style="98" width="8.1"/>
    <col collapsed="false" customWidth="true" hidden="false" outlineLevel="0" max="13587" min="13587" style="98" width="8.5"/>
    <col collapsed="false" customWidth="true" hidden="false" outlineLevel="0" max="13590" min="13588" style="98" width="8.1"/>
    <col collapsed="false" customWidth="false" hidden="false" outlineLevel="0" max="13823" min="13591" style="98" width="9"/>
    <col collapsed="false" customWidth="true" hidden="false" outlineLevel="0" max="13825" min="13824" style="98" width="1.6"/>
    <col collapsed="false" customWidth="true" hidden="false" outlineLevel="0" max="13826" min="13826" style="98" width="13.6"/>
    <col collapsed="false" customWidth="true" hidden="false" outlineLevel="0" max="13827" min="13827" style="98" width="8.5"/>
    <col collapsed="false" customWidth="true" hidden="false" outlineLevel="0" max="13828" min="13828" style="98" width="8.1"/>
    <col collapsed="false" customWidth="true" hidden="false" outlineLevel="0" max="13829" min="13829" style="98" width="8.5"/>
    <col collapsed="false" customWidth="true" hidden="false" outlineLevel="0" max="13830" min="13830" style="98" width="8.1"/>
    <col collapsed="false" customWidth="true" hidden="false" outlineLevel="0" max="13831" min="13831" style="98" width="8.5"/>
    <col collapsed="false" customWidth="true" hidden="false" outlineLevel="0" max="13834" min="13832" style="98" width="8.1"/>
    <col collapsed="false" customWidth="true" hidden="false" outlineLevel="0" max="13835" min="13835" style="98" width="8.5"/>
    <col collapsed="false" customWidth="true" hidden="false" outlineLevel="0" max="13836" min="13836" style="98" width="8.1"/>
    <col collapsed="false" customWidth="true" hidden="false" outlineLevel="0" max="13837" min="13837" style="98" width="8.5"/>
    <col collapsed="false" customWidth="true" hidden="false" outlineLevel="0" max="13838" min="13838" style="98" width="8.1"/>
    <col collapsed="false" customWidth="true" hidden="false" outlineLevel="0" max="13839" min="13839" style="98" width="8.5"/>
    <col collapsed="false" customWidth="true" hidden="false" outlineLevel="0" max="13840" min="13840" style="98" width="8.1"/>
    <col collapsed="false" customWidth="true" hidden="false" outlineLevel="0" max="13841" min="13841" style="98" width="8.5"/>
    <col collapsed="false" customWidth="true" hidden="false" outlineLevel="0" max="13842" min="13842" style="98" width="8.1"/>
    <col collapsed="false" customWidth="true" hidden="false" outlineLevel="0" max="13843" min="13843" style="98" width="8.5"/>
    <col collapsed="false" customWidth="true" hidden="false" outlineLevel="0" max="13846" min="13844" style="98" width="8.1"/>
    <col collapsed="false" customWidth="false" hidden="false" outlineLevel="0" max="14079" min="13847" style="98" width="9"/>
    <col collapsed="false" customWidth="true" hidden="false" outlineLevel="0" max="14081" min="14080" style="98" width="1.6"/>
    <col collapsed="false" customWidth="true" hidden="false" outlineLevel="0" max="14082" min="14082" style="98" width="13.6"/>
    <col collapsed="false" customWidth="true" hidden="false" outlineLevel="0" max="14083" min="14083" style="98" width="8.5"/>
    <col collapsed="false" customWidth="true" hidden="false" outlineLevel="0" max="14084" min="14084" style="98" width="8.1"/>
    <col collapsed="false" customWidth="true" hidden="false" outlineLevel="0" max="14085" min="14085" style="98" width="8.5"/>
    <col collapsed="false" customWidth="true" hidden="false" outlineLevel="0" max="14086" min="14086" style="98" width="8.1"/>
    <col collapsed="false" customWidth="true" hidden="false" outlineLevel="0" max="14087" min="14087" style="98" width="8.5"/>
    <col collapsed="false" customWidth="true" hidden="false" outlineLevel="0" max="14090" min="14088" style="98" width="8.1"/>
    <col collapsed="false" customWidth="true" hidden="false" outlineLevel="0" max="14091" min="14091" style="98" width="8.5"/>
    <col collapsed="false" customWidth="true" hidden="false" outlineLevel="0" max="14092" min="14092" style="98" width="8.1"/>
    <col collapsed="false" customWidth="true" hidden="false" outlineLevel="0" max="14093" min="14093" style="98" width="8.5"/>
    <col collapsed="false" customWidth="true" hidden="false" outlineLevel="0" max="14094" min="14094" style="98" width="8.1"/>
    <col collapsed="false" customWidth="true" hidden="false" outlineLevel="0" max="14095" min="14095" style="98" width="8.5"/>
    <col collapsed="false" customWidth="true" hidden="false" outlineLevel="0" max="14096" min="14096" style="98" width="8.1"/>
    <col collapsed="false" customWidth="true" hidden="false" outlineLevel="0" max="14097" min="14097" style="98" width="8.5"/>
    <col collapsed="false" customWidth="true" hidden="false" outlineLevel="0" max="14098" min="14098" style="98" width="8.1"/>
    <col collapsed="false" customWidth="true" hidden="false" outlineLevel="0" max="14099" min="14099" style="98" width="8.5"/>
    <col collapsed="false" customWidth="true" hidden="false" outlineLevel="0" max="14102" min="14100" style="98" width="8.1"/>
    <col collapsed="false" customWidth="false" hidden="false" outlineLevel="0" max="14335" min="14103" style="98" width="9"/>
    <col collapsed="false" customWidth="true" hidden="false" outlineLevel="0" max="14337" min="14336" style="98" width="1.6"/>
    <col collapsed="false" customWidth="true" hidden="false" outlineLevel="0" max="14338" min="14338" style="98" width="13.6"/>
    <col collapsed="false" customWidth="true" hidden="false" outlineLevel="0" max="14339" min="14339" style="98" width="8.5"/>
    <col collapsed="false" customWidth="true" hidden="false" outlineLevel="0" max="14340" min="14340" style="98" width="8.1"/>
    <col collapsed="false" customWidth="true" hidden="false" outlineLevel="0" max="14341" min="14341" style="98" width="8.5"/>
    <col collapsed="false" customWidth="true" hidden="false" outlineLevel="0" max="14342" min="14342" style="98" width="8.1"/>
    <col collapsed="false" customWidth="true" hidden="false" outlineLevel="0" max="14343" min="14343" style="98" width="8.5"/>
    <col collapsed="false" customWidth="true" hidden="false" outlineLevel="0" max="14346" min="14344" style="98" width="8.1"/>
    <col collapsed="false" customWidth="true" hidden="false" outlineLevel="0" max="14347" min="14347" style="98" width="8.5"/>
    <col collapsed="false" customWidth="true" hidden="false" outlineLevel="0" max="14348" min="14348" style="98" width="8.1"/>
    <col collapsed="false" customWidth="true" hidden="false" outlineLevel="0" max="14349" min="14349" style="98" width="8.5"/>
    <col collapsed="false" customWidth="true" hidden="false" outlineLevel="0" max="14350" min="14350" style="98" width="8.1"/>
    <col collapsed="false" customWidth="true" hidden="false" outlineLevel="0" max="14351" min="14351" style="98" width="8.5"/>
    <col collapsed="false" customWidth="true" hidden="false" outlineLevel="0" max="14352" min="14352" style="98" width="8.1"/>
    <col collapsed="false" customWidth="true" hidden="false" outlineLevel="0" max="14353" min="14353" style="98" width="8.5"/>
    <col collapsed="false" customWidth="true" hidden="false" outlineLevel="0" max="14354" min="14354" style="98" width="8.1"/>
    <col collapsed="false" customWidth="true" hidden="false" outlineLevel="0" max="14355" min="14355" style="98" width="8.5"/>
    <col collapsed="false" customWidth="true" hidden="false" outlineLevel="0" max="14358" min="14356" style="98" width="8.1"/>
    <col collapsed="false" customWidth="false" hidden="false" outlineLevel="0" max="14591" min="14359" style="98" width="9"/>
    <col collapsed="false" customWidth="true" hidden="false" outlineLevel="0" max="14593" min="14592" style="98" width="1.6"/>
    <col collapsed="false" customWidth="true" hidden="false" outlineLevel="0" max="14594" min="14594" style="98" width="13.6"/>
    <col collapsed="false" customWidth="true" hidden="false" outlineLevel="0" max="14595" min="14595" style="98" width="8.5"/>
    <col collapsed="false" customWidth="true" hidden="false" outlineLevel="0" max="14596" min="14596" style="98" width="8.1"/>
    <col collapsed="false" customWidth="true" hidden="false" outlineLevel="0" max="14597" min="14597" style="98" width="8.5"/>
    <col collapsed="false" customWidth="true" hidden="false" outlineLevel="0" max="14598" min="14598" style="98" width="8.1"/>
    <col collapsed="false" customWidth="true" hidden="false" outlineLevel="0" max="14599" min="14599" style="98" width="8.5"/>
    <col collapsed="false" customWidth="true" hidden="false" outlineLevel="0" max="14602" min="14600" style="98" width="8.1"/>
    <col collapsed="false" customWidth="true" hidden="false" outlineLevel="0" max="14603" min="14603" style="98" width="8.5"/>
    <col collapsed="false" customWidth="true" hidden="false" outlineLevel="0" max="14604" min="14604" style="98" width="8.1"/>
    <col collapsed="false" customWidth="true" hidden="false" outlineLevel="0" max="14605" min="14605" style="98" width="8.5"/>
    <col collapsed="false" customWidth="true" hidden="false" outlineLevel="0" max="14606" min="14606" style="98" width="8.1"/>
    <col collapsed="false" customWidth="true" hidden="false" outlineLevel="0" max="14607" min="14607" style="98" width="8.5"/>
    <col collapsed="false" customWidth="true" hidden="false" outlineLevel="0" max="14608" min="14608" style="98" width="8.1"/>
    <col collapsed="false" customWidth="true" hidden="false" outlineLevel="0" max="14609" min="14609" style="98" width="8.5"/>
    <col collapsed="false" customWidth="true" hidden="false" outlineLevel="0" max="14610" min="14610" style="98" width="8.1"/>
    <col collapsed="false" customWidth="true" hidden="false" outlineLevel="0" max="14611" min="14611" style="98" width="8.5"/>
    <col collapsed="false" customWidth="true" hidden="false" outlineLevel="0" max="14614" min="14612" style="98" width="8.1"/>
    <col collapsed="false" customWidth="false" hidden="false" outlineLevel="0" max="14847" min="14615" style="98" width="9"/>
    <col collapsed="false" customWidth="true" hidden="false" outlineLevel="0" max="14849" min="14848" style="98" width="1.6"/>
    <col collapsed="false" customWidth="true" hidden="false" outlineLevel="0" max="14850" min="14850" style="98" width="13.6"/>
    <col collapsed="false" customWidth="true" hidden="false" outlineLevel="0" max="14851" min="14851" style="98" width="8.5"/>
    <col collapsed="false" customWidth="true" hidden="false" outlineLevel="0" max="14852" min="14852" style="98" width="8.1"/>
    <col collapsed="false" customWidth="true" hidden="false" outlineLevel="0" max="14853" min="14853" style="98" width="8.5"/>
    <col collapsed="false" customWidth="true" hidden="false" outlineLevel="0" max="14854" min="14854" style="98" width="8.1"/>
    <col collapsed="false" customWidth="true" hidden="false" outlineLevel="0" max="14855" min="14855" style="98" width="8.5"/>
    <col collapsed="false" customWidth="true" hidden="false" outlineLevel="0" max="14858" min="14856" style="98" width="8.1"/>
    <col collapsed="false" customWidth="true" hidden="false" outlineLevel="0" max="14859" min="14859" style="98" width="8.5"/>
    <col collapsed="false" customWidth="true" hidden="false" outlineLevel="0" max="14860" min="14860" style="98" width="8.1"/>
    <col collapsed="false" customWidth="true" hidden="false" outlineLevel="0" max="14861" min="14861" style="98" width="8.5"/>
    <col collapsed="false" customWidth="true" hidden="false" outlineLevel="0" max="14862" min="14862" style="98" width="8.1"/>
    <col collapsed="false" customWidth="true" hidden="false" outlineLevel="0" max="14863" min="14863" style="98" width="8.5"/>
    <col collapsed="false" customWidth="true" hidden="false" outlineLevel="0" max="14864" min="14864" style="98" width="8.1"/>
    <col collapsed="false" customWidth="true" hidden="false" outlineLevel="0" max="14865" min="14865" style="98" width="8.5"/>
    <col collapsed="false" customWidth="true" hidden="false" outlineLevel="0" max="14866" min="14866" style="98" width="8.1"/>
    <col collapsed="false" customWidth="true" hidden="false" outlineLevel="0" max="14867" min="14867" style="98" width="8.5"/>
    <col collapsed="false" customWidth="true" hidden="false" outlineLevel="0" max="14870" min="14868" style="98" width="8.1"/>
    <col collapsed="false" customWidth="false" hidden="false" outlineLevel="0" max="15103" min="14871" style="98" width="9"/>
    <col collapsed="false" customWidth="true" hidden="false" outlineLevel="0" max="15105" min="15104" style="98" width="1.6"/>
    <col collapsed="false" customWidth="true" hidden="false" outlineLevel="0" max="15106" min="15106" style="98" width="13.6"/>
    <col collapsed="false" customWidth="true" hidden="false" outlineLevel="0" max="15107" min="15107" style="98" width="8.5"/>
    <col collapsed="false" customWidth="true" hidden="false" outlineLevel="0" max="15108" min="15108" style="98" width="8.1"/>
    <col collapsed="false" customWidth="true" hidden="false" outlineLevel="0" max="15109" min="15109" style="98" width="8.5"/>
    <col collapsed="false" customWidth="true" hidden="false" outlineLevel="0" max="15110" min="15110" style="98" width="8.1"/>
    <col collapsed="false" customWidth="true" hidden="false" outlineLevel="0" max="15111" min="15111" style="98" width="8.5"/>
    <col collapsed="false" customWidth="true" hidden="false" outlineLevel="0" max="15114" min="15112" style="98" width="8.1"/>
    <col collapsed="false" customWidth="true" hidden="false" outlineLevel="0" max="15115" min="15115" style="98" width="8.5"/>
    <col collapsed="false" customWidth="true" hidden="false" outlineLevel="0" max="15116" min="15116" style="98" width="8.1"/>
    <col collapsed="false" customWidth="true" hidden="false" outlineLevel="0" max="15117" min="15117" style="98" width="8.5"/>
    <col collapsed="false" customWidth="true" hidden="false" outlineLevel="0" max="15118" min="15118" style="98" width="8.1"/>
    <col collapsed="false" customWidth="true" hidden="false" outlineLevel="0" max="15119" min="15119" style="98" width="8.5"/>
    <col collapsed="false" customWidth="true" hidden="false" outlineLevel="0" max="15120" min="15120" style="98" width="8.1"/>
    <col collapsed="false" customWidth="true" hidden="false" outlineLevel="0" max="15121" min="15121" style="98" width="8.5"/>
    <col collapsed="false" customWidth="true" hidden="false" outlineLevel="0" max="15122" min="15122" style="98" width="8.1"/>
    <col collapsed="false" customWidth="true" hidden="false" outlineLevel="0" max="15123" min="15123" style="98" width="8.5"/>
    <col collapsed="false" customWidth="true" hidden="false" outlineLevel="0" max="15126" min="15124" style="98" width="8.1"/>
    <col collapsed="false" customWidth="false" hidden="false" outlineLevel="0" max="15359" min="15127" style="98" width="9"/>
    <col collapsed="false" customWidth="true" hidden="false" outlineLevel="0" max="15361" min="15360" style="98" width="1.6"/>
    <col collapsed="false" customWidth="true" hidden="false" outlineLevel="0" max="15362" min="15362" style="98" width="13.6"/>
    <col collapsed="false" customWidth="true" hidden="false" outlineLevel="0" max="15363" min="15363" style="98" width="8.5"/>
    <col collapsed="false" customWidth="true" hidden="false" outlineLevel="0" max="15364" min="15364" style="98" width="8.1"/>
    <col collapsed="false" customWidth="true" hidden="false" outlineLevel="0" max="15365" min="15365" style="98" width="8.5"/>
    <col collapsed="false" customWidth="true" hidden="false" outlineLevel="0" max="15366" min="15366" style="98" width="8.1"/>
    <col collapsed="false" customWidth="true" hidden="false" outlineLevel="0" max="15367" min="15367" style="98" width="8.5"/>
    <col collapsed="false" customWidth="true" hidden="false" outlineLevel="0" max="15370" min="15368" style="98" width="8.1"/>
    <col collapsed="false" customWidth="true" hidden="false" outlineLevel="0" max="15371" min="15371" style="98" width="8.5"/>
    <col collapsed="false" customWidth="true" hidden="false" outlineLevel="0" max="15372" min="15372" style="98" width="8.1"/>
    <col collapsed="false" customWidth="true" hidden="false" outlineLevel="0" max="15373" min="15373" style="98" width="8.5"/>
    <col collapsed="false" customWidth="true" hidden="false" outlineLevel="0" max="15374" min="15374" style="98" width="8.1"/>
    <col collapsed="false" customWidth="true" hidden="false" outlineLevel="0" max="15375" min="15375" style="98" width="8.5"/>
    <col collapsed="false" customWidth="true" hidden="false" outlineLevel="0" max="15376" min="15376" style="98" width="8.1"/>
    <col collapsed="false" customWidth="true" hidden="false" outlineLevel="0" max="15377" min="15377" style="98" width="8.5"/>
    <col collapsed="false" customWidth="true" hidden="false" outlineLevel="0" max="15378" min="15378" style="98" width="8.1"/>
    <col collapsed="false" customWidth="true" hidden="false" outlineLevel="0" max="15379" min="15379" style="98" width="8.5"/>
    <col collapsed="false" customWidth="true" hidden="false" outlineLevel="0" max="15382" min="15380" style="98" width="8.1"/>
    <col collapsed="false" customWidth="false" hidden="false" outlineLevel="0" max="15615" min="15383" style="98" width="9"/>
    <col collapsed="false" customWidth="true" hidden="false" outlineLevel="0" max="15617" min="15616" style="98" width="1.6"/>
    <col collapsed="false" customWidth="true" hidden="false" outlineLevel="0" max="15618" min="15618" style="98" width="13.6"/>
    <col collapsed="false" customWidth="true" hidden="false" outlineLevel="0" max="15619" min="15619" style="98" width="8.5"/>
    <col collapsed="false" customWidth="true" hidden="false" outlineLevel="0" max="15620" min="15620" style="98" width="8.1"/>
    <col collapsed="false" customWidth="true" hidden="false" outlineLevel="0" max="15621" min="15621" style="98" width="8.5"/>
    <col collapsed="false" customWidth="true" hidden="false" outlineLevel="0" max="15622" min="15622" style="98" width="8.1"/>
    <col collapsed="false" customWidth="true" hidden="false" outlineLevel="0" max="15623" min="15623" style="98" width="8.5"/>
    <col collapsed="false" customWidth="true" hidden="false" outlineLevel="0" max="15626" min="15624" style="98" width="8.1"/>
    <col collapsed="false" customWidth="true" hidden="false" outlineLevel="0" max="15627" min="15627" style="98" width="8.5"/>
    <col collapsed="false" customWidth="true" hidden="false" outlineLevel="0" max="15628" min="15628" style="98" width="8.1"/>
    <col collapsed="false" customWidth="true" hidden="false" outlineLevel="0" max="15629" min="15629" style="98" width="8.5"/>
    <col collapsed="false" customWidth="true" hidden="false" outlineLevel="0" max="15630" min="15630" style="98" width="8.1"/>
    <col collapsed="false" customWidth="true" hidden="false" outlineLevel="0" max="15631" min="15631" style="98" width="8.5"/>
    <col collapsed="false" customWidth="true" hidden="false" outlineLevel="0" max="15632" min="15632" style="98" width="8.1"/>
    <col collapsed="false" customWidth="true" hidden="false" outlineLevel="0" max="15633" min="15633" style="98" width="8.5"/>
    <col collapsed="false" customWidth="true" hidden="false" outlineLevel="0" max="15634" min="15634" style="98" width="8.1"/>
    <col collapsed="false" customWidth="true" hidden="false" outlineLevel="0" max="15635" min="15635" style="98" width="8.5"/>
    <col collapsed="false" customWidth="true" hidden="false" outlineLevel="0" max="15638" min="15636" style="98" width="8.1"/>
    <col collapsed="false" customWidth="false" hidden="false" outlineLevel="0" max="15871" min="15639" style="98" width="9"/>
    <col collapsed="false" customWidth="true" hidden="false" outlineLevel="0" max="15873" min="15872" style="98" width="1.6"/>
    <col collapsed="false" customWidth="true" hidden="false" outlineLevel="0" max="15874" min="15874" style="98" width="13.6"/>
    <col collapsed="false" customWidth="true" hidden="false" outlineLevel="0" max="15875" min="15875" style="98" width="8.5"/>
    <col collapsed="false" customWidth="true" hidden="false" outlineLevel="0" max="15876" min="15876" style="98" width="8.1"/>
    <col collapsed="false" customWidth="true" hidden="false" outlineLevel="0" max="15877" min="15877" style="98" width="8.5"/>
    <col collapsed="false" customWidth="true" hidden="false" outlineLevel="0" max="15878" min="15878" style="98" width="8.1"/>
    <col collapsed="false" customWidth="true" hidden="false" outlineLevel="0" max="15879" min="15879" style="98" width="8.5"/>
    <col collapsed="false" customWidth="true" hidden="false" outlineLevel="0" max="15882" min="15880" style="98" width="8.1"/>
    <col collapsed="false" customWidth="true" hidden="false" outlineLevel="0" max="15883" min="15883" style="98" width="8.5"/>
    <col collapsed="false" customWidth="true" hidden="false" outlineLevel="0" max="15884" min="15884" style="98" width="8.1"/>
    <col collapsed="false" customWidth="true" hidden="false" outlineLevel="0" max="15885" min="15885" style="98" width="8.5"/>
    <col collapsed="false" customWidth="true" hidden="false" outlineLevel="0" max="15886" min="15886" style="98" width="8.1"/>
    <col collapsed="false" customWidth="true" hidden="false" outlineLevel="0" max="15887" min="15887" style="98" width="8.5"/>
    <col collapsed="false" customWidth="true" hidden="false" outlineLevel="0" max="15888" min="15888" style="98" width="8.1"/>
    <col collapsed="false" customWidth="true" hidden="false" outlineLevel="0" max="15889" min="15889" style="98" width="8.5"/>
    <col collapsed="false" customWidth="true" hidden="false" outlineLevel="0" max="15890" min="15890" style="98" width="8.1"/>
    <col collapsed="false" customWidth="true" hidden="false" outlineLevel="0" max="15891" min="15891" style="98" width="8.5"/>
    <col collapsed="false" customWidth="true" hidden="false" outlineLevel="0" max="15894" min="15892" style="98" width="8.1"/>
    <col collapsed="false" customWidth="false" hidden="false" outlineLevel="0" max="16127" min="15895" style="98" width="9"/>
    <col collapsed="false" customWidth="true" hidden="false" outlineLevel="0" max="16129" min="16128" style="98" width="1.6"/>
    <col collapsed="false" customWidth="true" hidden="false" outlineLevel="0" max="16130" min="16130" style="98" width="13.6"/>
    <col collapsed="false" customWidth="true" hidden="false" outlineLevel="0" max="16131" min="16131" style="98" width="8.5"/>
    <col collapsed="false" customWidth="true" hidden="false" outlineLevel="0" max="16132" min="16132" style="98" width="8.1"/>
    <col collapsed="false" customWidth="true" hidden="false" outlineLevel="0" max="16133" min="16133" style="98" width="8.5"/>
    <col collapsed="false" customWidth="true" hidden="false" outlineLevel="0" max="16134" min="16134" style="98" width="8.1"/>
    <col collapsed="false" customWidth="true" hidden="false" outlineLevel="0" max="16135" min="16135" style="98" width="8.5"/>
    <col collapsed="false" customWidth="true" hidden="false" outlineLevel="0" max="16138" min="16136" style="98" width="8.1"/>
    <col collapsed="false" customWidth="true" hidden="false" outlineLevel="0" max="16139" min="16139" style="98" width="8.5"/>
    <col collapsed="false" customWidth="true" hidden="false" outlineLevel="0" max="16140" min="16140" style="98" width="8.1"/>
    <col collapsed="false" customWidth="true" hidden="false" outlineLevel="0" max="16141" min="16141" style="98" width="8.5"/>
    <col collapsed="false" customWidth="true" hidden="false" outlineLevel="0" max="16142" min="16142" style="98" width="8.1"/>
    <col collapsed="false" customWidth="true" hidden="false" outlineLevel="0" max="16143" min="16143" style="98" width="8.5"/>
    <col collapsed="false" customWidth="true" hidden="false" outlineLevel="0" max="16144" min="16144" style="98" width="8.1"/>
    <col collapsed="false" customWidth="true" hidden="false" outlineLevel="0" max="16145" min="16145" style="98" width="8.5"/>
    <col collapsed="false" customWidth="true" hidden="false" outlineLevel="0" max="16146" min="16146" style="98" width="8.1"/>
    <col collapsed="false" customWidth="true" hidden="false" outlineLevel="0" max="16147" min="16147" style="98" width="8.5"/>
    <col collapsed="false" customWidth="true" hidden="false" outlineLevel="0" max="16150" min="16148" style="98" width="8.1"/>
    <col collapsed="false" customWidth="false" hidden="false" outlineLevel="0" max="16384" min="16151" style="98" width="9"/>
  </cols>
  <sheetData>
    <row r="1" customFormat="false" ht="29.25" hidden="false" customHeight="true" outlineLevel="0" collapsed="false">
      <c r="B1" s="102" t="s">
        <v>220</v>
      </c>
      <c r="I1" s="103"/>
      <c r="J1" s="103"/>
      <c r="U1" s="103"/>
      <c r="V1" s="103"/>
    </row>
    <row r="2" s="107" customFormat="true" ht="6" hidden="false" customHeight="true" outlineLevel="0" collapsed="false">
      <c r="A2" s="104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</row>
    <row r="3" customFormat="false" ht="24.75" hidden="false" customHeight="true" outlineLevel="0" collapsed="false">
      <c r="B3" s="108"/>
      <c r="U3" s="109" t="s">
        <v>221</v>
      </c>
      <c r="V3" s="109" t="s">
        <v>221</v>
      </c>
      <c r="X3" s="110"/>
      <c r="Y3" s="111"/>
    </row>
    <row r="4" customFormat="false" ht="24.75" hidden="false" customHeight="true" outlineLevel="0" collapsed="false">
      <c r="B4" s="112" t="s">
        <v>222</v>
      </c>
      <c r="C4" s="113" t="s">
        <v>223</v>
      </c>
      <c r="D4" s="113"/>
      <c r="E4" s="113"/>
      <c r="F4" s="113"/>
      <c r="G4" s="113"/>
      <c r="H4" s="113"/>
      <c r="I4" s="113"/>
      <c r="J4" s="113"/>
      <c r="K4" s="113" t="s">
        <v>224</v>
      </c>
      <c r="L4" s="113"/>
      <c r="M4" s="113"/>
      <c r="N4" s="113"/>
      <c r="O4" s="113" t="s">
        <v>225</v>
      </c>
      <c r="P4" s="113"/>
      <c r="Q4" s="113"/>
      <c r="R4" s="113"/>
      <c r="S4" s="113"/>
      <c r="T4" s="113"/>
      <c r="U4" s="113"/>
      <c r="V4" s="113"/>
      <c r="X4" s="110"/>
      <c r="Y4" s="111"/>
    </row>
    <row r="5" customFormat="false" ht="49.5" hidden="false" customHeight="true" outlineLevel="0" collapsed="false">
      <c r="B5" s="112"/>
      <c r="C5" s="112" t="s">
        <v>226</v>
      </c>
      <c r="D5" s="112"/>
      <c r="E5" s="112" t="s">
        <v>227</v>
      </c>
      <c r="F5" s="112"/>
      <c r="G5" s="112" t="s">
        <v>228</v>
      </c>
      <c r="H5" s="112"/>
      <c r="I5" s="114" t="s">
        <v>229</v>
      </c>
      <c r="J5" s="114" t="s">
        <v>230</v>
      </c>
      <c r="K5" s="112" t="s">
        <v>226</v>
      </c>
      <c r="L5" s="112"/>
      <c r="M5" s="112" t="s">
        <v>231</v>
      </c>
      <c r="N5" s="112"/>
      <c r="O5" s="112" t="s">
        <v>226</v>
      </c>
      <c r="P5" s="112"/>
      <c r="Q5" s="112" t="s">
        <v>227</v>
      </c>
      <c r="R5" s="112"/>
      <c r="S5" s="112" t="s">
        <v>232</v>
      </c>
      <c r="T5" s="112"/>
      <c r="U5" s="114" t="s">
        <v>229</v>
      </c>
      <c r="V5" s="114" t="s">
        <v>230</v>
      </c>
      <c r="X5" s="110"/>
      <c r="Y5" s="111"/>
      <c r="AC5" s="115" t="s">
        <v>233</v>
      </c>
    </row>
    <row r="6" customFormat="false" ht="24.75" hidden="false" customHeight="true" outlineLevel="0" collapsed="false">
      <c r="B6" s="116" t="s">
        <v>234</v>
      </c>
      <c r="C6" s="117" t="n">
        <f aca="false">('PL_25 우리'!P34)/1000000</f>
        <v>174.068774</v>
      </c>
      <c r="D6" s="118" t="n">
        <f aca="false">IFERROR(C6/C$11,"-")</f>
        <v>0.466071538894558</v>
      </c>
      <c r="E6" s="119"/>
      <c r="F6" s="120" t="str">
        <f aca="false">IFERROR(E6/E$11,"-")</f>
        <v>-</v>
      </c>
      <c r="G6" s="121" t="n">
        <f aca="false">('PL_26 우리'!P34)/1000000</f>
        <v>0</v>
      </c>
      <c r="H6" s="122" t="n">
        <f aca="false">IFERROR(G6/G$11,"-")</f>
        <v>0</v>
      </c>
      <c r="I6" s="123" t="n">
        <f aca="false">IFERROR(IF(AND((G6+G7+G10)&lt;0,(C6+C7+C10)&lt;0),-((G6+G7+G10)-(C6+C7+C10))/(C6+C7+C10),IF(AND((G6+G7+G10)&lt;0,C6&gt;0),((G6+G7+G10)-(C6+C7+C10))/(C6+C7+C10),IF(AND((G6+G7+G10)&gt;0,(C6+C7+C10)&lt;0),-((G6+G7+G10)-(C6+C7+C10))/(C6+C7+C10),IF(ISERROR((G6+G7+G10)/(C6+C7+C10)),"-",((G6+G7+G10)-(C6+C7+C10))/(C6+C7+C10))))),"-")</f>
        <v>-0.642018650350669</v>
      </c>
      <c r="J6" s="123" t="str">
        <f aca="false">IFERROR(IF(AND((G6+G7)&lt;0,E6&lt;0),-((G6+G7)-E6)/E6,IF(AND((G6+G7)&lt;0,E6&gt;0),((G6+G7)-E6)/E6,IF(AND((G6+G7)&gt;0,E6&lt;0),-((G6+G7)-E6)/E6,IF(ISERROR((G6+G7)/E6),"-",((G6+G7)-E6)/E6)))),"-")</f>
        <v>-</v>
      </c>
      <c r="K6" s="117" t="n">
        <f aca="false">'PL_25 우리'!Q34/1000000</f>
        <v>287.02547</v>
      </c>
      <c r="L6" s="118" t="n">
        <f aca="false">IFERROR(K6/K$11,"-")</f>
        <v>0.778797143628824</v>
      </c>
      <c r="M6" s="121" t="n">
        <v>0</v>
      </c>
      <c r="N6" s="122" t="n">
        <f aca="false">IFERROR(M6/M$11,"-")</f>
        <v>0</v>
      </c>
      <c r="O6" s="117" t="n">
        <f aca="false">('PL_25 우리'!R34)/1000000</f>
        <v>994.22838</v>
      </c>
      <c r="P6" s="118" t="n">
        <f aca="false">IFERROR(O6/O$11,"-")</f>
        <v>0.356694604805839</v>
      </c>
      <c r="Q6" s="119"/>
      <c r="R6" s="120" t="str">
        <f aca="false">IFERROR(Q6/Q$11,"-")</f>
        <v>-</v>
      </c>
      <c r="S6" s="121" t="n">
        <f aca="false">('PL_26 우리'!Q34)/1000000</f>
        <v>0</v>
      </c>
      <c r="T6" s="122" t="n">
        <f aca="false">IFERROR(S6/S$11,"-")</f>
        <v>0</v>
      </c>
      <c r="U6" s="123" t="n">
        <f aca="false">IFERROR(IF(AND((S6+S7+S10)&lt;0,(O6+O7+O10)&lt;0),-((S6+S7+S10)-(O6+O7+O10))/(O6+O7+O10),IF(AND((S6+S7+S10)&lt;0,O6&gt;0),((S6+S7+S10)-(O6+O7+O10))/(O6+O7+O10),IF(AND((S6+S7+S10)&gt;0,(O6+O7+O10)&lt;0),-((S6+S7+S10)-(O6+O7+O10))/(O6+O7+O10),IF(ISERROR((S6+S7+S10)/(O6+O7+O10)),"-",((S6+S7+S10)-(O6+O7+O10))/(O6+O7+O10))))),"-")</f>
        <v>-0.207390813012561</v>
      </c>
      <c r="V6" s="123" t="str">
        <f aca="false">IFERROR(IF(AND((S6+S7)&lt;0,Q6&lt;0),-((S6+S7)-Q6)/Q6,IF(AND((S6+S7)&lt;0,Q6&gt;0),((S6+S7)-Q6)/Q6,IF(AND((S6+S7)&gt;0,Q6&lt;0),-((S6+S7)-Q6)/Q6,IF(ISERROR((S6+S7)/Q6),"-",((S6+S7)-Q6)/Q6)))),"-")</f>
        <v>-</v>
      </c>
      <c r="X6" s="124"/>
      <c r="Y6" s="125" t="n">
        <f aca="false">(G6+G7)/(C6+C7)-1</f>
        <v>-0.642018650350669</v>
      </c>
      <c r="Z6" s="125" t="n">
        <f aca="false">(S6+S7)/(O6+O7)-1</f>
        <v>-0.207390813012561</v>
      </c>
      <c r="AC6" s="126" t="s">
        <v>235</v>
      </c>
      <c r="AD6" s="127"/>
      <c r="AE6" s="127"/>
      <c r="AF6" s="127"/>
      <c r="AG6" s="127"/>
      <c r="AH6" s="127"/>
    </row>
    <row r="7" customFormat="false" ht="24.75" hidden="false" customHeight="true" outlineLevel="0" collapsed="false">
      <c r="B7" s="128" t="s">
        <v>236</v>
      </c>
      <c r="C7" s="129" t="n">
        <f aca="false">('PL_25 우리'!P33)/1000000</f>
        <v>199.412032</v>
      </c>
      <c r="D7" s="130" t="n">
        <f aca="false">IFERROR(C7/C$11,"-")</f>
        <v>0.533928461105442</v>
      </c>
      <c r="E7" s="119"/>
      <c r="F7" s="120"/>
      <c r="G7" s="131" t="n">
        <f aca="false">+'PL_26 우리'!P33/1000000</f>
        <v>133.699163</v>
      </c>
      <c r="H7" s="132" t="n">
        <f aca="false">IFERROR(G7/G$11,"-")</f>
        <v>1</v>
      </c>
      <c r="I7" s="123"/>
      <c r="J7" s="123"/>
      <c r="K7" s="129" t="n">
        <f aca="false">'PL_25 우리'!Q33/1000000</f>
        <v>81.524251</v>
      </c>
      <c r="L7" s="130" t="n">
        <f aca="false">IFERROR(K7/K$11,"-")</f>
        <v>0.221202856371176</v>
      </c>
      <c r="M7" s="131" t="n">
        <f aca="false">146</f>
        <v>146</v>
      </c>
      <c r="N7" s="132" t="n">
        <f aca="false">IFERROR(M7/M$11,"-")</f>
        <v>1</v>
      </c>
      <c r="O7" s="129" t="n">
        <f aca="false">('PL_25 우리'!R33)/1000000</f>
        <v>1793.10949</v>
      </c>
      <c r="P7" s="130" t="n">
        <f aca="false">IFERROR(O7/O$11,"-")</f>
        <v>0.643305395194161</v>
      </c>
      <c r="Q7" s="119"/>
      <c r="R7" s="120"/>
      <c r="S7" s="131" t="n">
        <f aca="false">('PL_26 우리'!Q33)/1000000</f>
        <v>2209.269603</v>
      </c>
      <c r="T7" s="132" t="n">
        <f aca="false">IFERROR(S7/S$11,"-")</f>
        <v>1</v>
      </c>
      <c r="U7" s="123"/>
      <c r="V7" s="123"/>
      <c r="X7" s="124"/>
      <c r="Y7" s="125"/>
      <c r="Z7" s="133"/>
      <c r="AD7" s="127"/>
      <c r="AE7" s="127"/>
      <c r="AF7" s="127"/>
      <c r="AG7" s="127"/>
      <c r="AH7" s="127"/>
    </row>
    <row r="8" s="134" customFormat="true" ht="24.75" hidden="true" customHeight="true" outlineLevel="0" collapsed="false">
      <c r="B8" s="128" t="s">
        <v>237</v>
      </c>
      <c r="C8" s="135"/>
      <c r="D8" s="136"/>
      <c r="E8" s="135"/>
      <c r="F8" s="136"/>
      <c r="G8" s="131"/>
      <c r="H8" s="137"/>
      <c r="I8" s="123"/>
      <c r="J8" s="136"/>
      <c r="K8" s="135"/>
      <c r="L8" s="136"/>
      <c r="M8" s="131"/>
      <c r="N8" s="137"/>
      <c r="O8" s="135"/>
      <c r="P8" s="136"/>
      <c r="Q8" s="135"/>
      <c r="R8" s="136"/>
      <c r="S8" s="131"/>
      <c r="T8" s="137"/>
      <c r="U8" s="123"/>
      <c r="V8" s="136"/>
      <c r="Y8" s="138"/>
      <c r="Z8" s="138"/>
      <c r="AC8" s="139" t="s">
        <v>238</v>
      </c>
      <c r="AD8" s="140" t="s">
        <v>239</v>
      </c>
      <c r="AE8" s="141" t="s">
        <v>233</v>
      </c>
      <c r="AF8" s="142"/>
      <c r="AG8" s="142"/>
      <c r="AH8" s="143"/>
    </row>
    <row r="9" s="144" customFormat="true" ht="24.75" hidden="true" customHeight="true" outlineLevel="0" collapsed="false">
      <c r="B9" s="145" t="s">
        <v>240</v>
      </c>
      <c r="C9" s="146"/>
      <c r="D9" s="147"/>
      <c r="E9" s="146"/>
      <c r="F9" s="147"/>
      <c r="G9" s="148"/>
      <c r="H9" s="149"/>
      <c r="I9" s="123"/>
      <c r="J9" s="147"/>
      <c r="K9" s="146"/>
      <c r="L9" s="147"/>
      <c r="M9" s="148"/>
      <c r="N9" s="149"/>
      <c r="O9" s="146"/>
      <c r="P9" s="147"/>
      <c r="Q9" s="146"/>
      <c r="R9" s="147"/>
      <c r="S9" s="148"/>
      <c r="T9" s="149"/>
      <c r="U9" s="123"/>
      <c r="V9" s="136"/>
      <c r="Y9" s="150"/>
      <c r="Z9" s="150"/>
      <c r="AC9" s="151"/>
      <c r="AD9" s="152"/>
      <c r="AE9" s="153"/>
      <c r="AF9" s="154"/>
      <c r="AG9" s="154"/>
      <c r="AH9" s="155"/>
    </row>
    <row r="10" s="156" customFormat="true" ht="24.75" hidden="true" customHeight="true" outlineLevel="0" collapsed="false">
      <c r="B10" s="128" t="s">
        <v>241</v>
      </c>
      <c r="C10" s="135" t="n">
        <f aca="false">'PL_25 우리'!P36/1000000</f>
        <v>0</v>
      </c>
      <c r="D10" s="136" t="n">
        <f aca="false">IFERROR(C10/C$11,"-")</f>
        <v>0</v>
      </c>
      <c r="E10" s="135"/>
      <c r="F10" s="136" t="str">
        <f aca="false">IFERROR(E10/E$11,"-")</f>
        <v>-</v>
      </c>
      <c r="G10" s="131" t="n">
        <f aca="false">('PL_26 우리'!P36)/1000000</f>
        <v>0</v>
      </c>
      <c r="H10" s="137" t="n">
        <f aca="false">IFERROR(G10/G$11,"-")</f>
        <v>0</v>
      </c>
      <c r="I10" s="123"/>
      <c r="J10" s="136" t="str">
        <f aca="false">IFERROR(IF(AND(G10&lt;0,E10&lt;0),-(G10-E10)/E10,IF(AND(G10&lt;0,E10&gt;0),(G10-E10)/E10,IF(AND(G10&gt;0,E10&lt;0),-(G10-E10)/E10,IF(ISERROR(G10/E10),"-",(G10-E10)/E10)))),"-")</f>
        <v>-</v>
      </c>
      <c r="K10" s="135" t="n">
        <f aca="false">'PL_25 우리'!Q36/1000000</f>
        <v>0</v>
      </c>
      <c r="L10" s="136" t="n">
        <f aca="false">IFERROR(K10/K$11,"-")</f>
        <v>0</v>
      </c>
      <c r="M10" s="131"/>
      <c r="N10" s="137" t="n">
        <f aca="false">IFERROR(M10/M$11,"-")</f>
        <v>0</v>
      </c>
      <c r="O10" s="135" t="n">
        <f aca="false">'PL_25 우리'!R36/1000000</f>
        <v>0</v>
      </c>
      <c r="P10" s="136" t="n">
        <f aca="false">IFERROR(O10/O$11,"-")</f>
        <v>0</v>
      </c>
      <c r="Q10" s="135"/>
      <c r="R10" s="136" t="str">
        <f aca="false">IFERROR(Q10/Q$11,"-")</f>
        <v>-</v>
      </c>
      <c r="S10" s="131" t="n">
        <f aca="false">('PL_26 우리'!Q36)/1000000</f>
        <v>0</v>
      </c>
      <c r="T10" s="137" t="n">
        <f aca="false">IFERROR(S10/S$11,"-")</f>
        <v>0</v>
      </c>
      <c r="U10" s="123"/>
      <c r="V10" s="136" t="str">
        <f aca="false">IFERROR(IF(AND(S10&lt;0,Q10&lt;0),-(S10-Q10)/Q10,IF(AND(S10&lt;0,Q10&gt;0),(S10-Q10)/Q10,IF(AND(S10&gt;0,Q10&lt;0),-(S10-Q10)/Q10,IF(ISERROR(S10/Q10),"-",(S10-Q10)/Q10)))),"-")</f>
        <v>-</v>
      </c>
      <c r="Y10" s="157"/>
      <c r="Z10" s="157"/>
      <c r="AC10" s="158"/>
      <c r="AD10" s="159" t="s">
        <v>242</v>
      </c>
      <c r="AE10" s="160" t="s">
        <v>243</v>
      </c>
      <c r="AH10" s="161"/>
    </row>
    <row r="11" customFormat="false" ht="24" hidden="false" customHeight="true" outlineLevel="0" collapsed="false">
      <c r="B11" s="162" t="s">
        <v>244</v>
      </c>
      <c r="C11" s="163" t="n">
        <f aca="false">SUM(C6:C10)</f>
        <v>373.480806</v>
      </c>
      <c r="D11" s="164" t="n">
        <f aca="false">IFERROR(C11/C$11,"-")</f>
        <v>1</v>
      </c>
      <c r="E11" s="163" t="n">
        <f aca="false">SUM(E6:E10)-E9</f>
        <v>0</v>
      </c>
      <c r="F11" s="164" t="str">
        <f aca="false">IFERROR(E11/E$11,"-")</f>
        <v>-</v>
      </c>
      <c r="G11" s="163" t="n">
        <f aca="false">SUM(G6:G10)-G9</f>
        <v>133.699163</v>
      </c>
      <c r="H11" s="164" t="n">
        <f aca="false">IFERROR(G11/G$11,"-")</f>
        <v>1</v>
      </c>
      <c r="I11" s="164" t="n">
        <f aca="false">IF(C11&lt;0,(G11-C11)/ABS(C11),(G11-C11)/C11)</f>
        <v>-0.642018650350669</v>
      </c>
      <c r="J11" s="164" t="str">
        <f aca="false">IFERROR(IF(AND(G11&lt;0,E11&lt;0),-(G11-E11)/E11,IF(AND(G11&lt;0,E11&gt;0),(G11-E11)/E11,IF(AND(G11&gt;0,E11&lt;0),-(G11-E11)/E11,IF(ISERROR(G11/E11),"-",(G11-E11)/E11)))),"-")</f>
        <v>-</v>
      </c>
      <c r="K11" s="163" t="n">
        <f aca="false">SUM(K6:K10)-K9</f>
        <v>368.549721</v>
      </c>
      <c r="L11" s="164" t="n">
        <f aca="false">IFERROR(K11/K$11,"-")</f>
        <v>1</v>
      </c>
      <c r="M11" s="163" t="n">
        <f aca="false">SUM(M6:M10)-M9</f>
        <v>146</v>
      </c>
      <c r="N11" s="164" t="n">
        <f aca="false">IFERROR(M11/M$11,"-")</f>
        <v>1</v>
      </c>
      <c r="O11" s="163" t="n">
        <f aca="false">SUM(O6:O10)</f>
        <v>2787.33787</v>
      </c>
      <c r="P11" s="164" t="n">
        <f aca="false">IFERROR(O11/O$11,"-")</f>
        <v>1</v>
      </c>
      <c r="Q11" s="163" t="n">
        <f aca="false">SUM(Q6:Q10)-Q9</f>
        <v>0</v>
      </c>
      <c r="R11" s="164" t="str">
        <f aca="false">IFERROR(Q11/Q$11,"-")</f>
        <v>-</v>
      </c>
      <c r="S11" s="163" t="n">
        <f aca="false">SUM(S6:S10)-S9</f>
        <v>2209.269603</v>
      </c>
      <c r="T11" s="164" t="n">
        <f aca="false">IFERROR(S11/S$11,"-")</f>
        <v>1</v>
      </c>
      <c r="U11" s="164" t="n">
        <f aca="false">IF(O11&lt;0,(S11-O11)/ABS(O11),(S11-O11)/O11)</f>
        <v>-0.207390813012561</v>
      </c>
      <c r="V11" s="164" t="str">
        <f aca="false">IFERROR(IF(AND(S11&lt;0,Q11&lt;0),-(S11-Q11)/Q11,IF(AND(S11&lt;0,Q11&gt;0),(S11-Q11)/Q11,IF(AND(S11&gt;0,Q11&lt;0),-(S11-Q11)/Q11,IF(ISERROR(S11/Q11),"-",(S11-Q11)/Q11)))),"-")</f>
        <v>-</v>
      </c>
      <c r="X11" s="108"/>
      <c r="Y11" s="125" t="n">
        <f aca="false">(G11)/(C11)-1</f>
        <v>-0.642018650350669</v>
      </c>
      <c r="Z11" s="125" t="n">
        <f aca="false">(S11)/(O11)-1</f>
        <v>-0.207390813012561</v>
      </c>
      <c r="AC11" s="165" t="s">
        <v>245</v>
      </c>
      <c r="AD11" s="166" t="s">
        <v>245</v>
      </c>
      <c r="AH11" s="167"/>
    </row>
    <row r="12" customFormat="false" ht="24" hidden="true" customHeight="true" outlineLevel="0" collapsed="false">
      <c r="B12" s="168" t="s">
        <v>246</v>
      </c>
      <c r="C12" s="169" t="n">
        <f aca="false">('PL_25 우리'!P42)/1000000</f>
        <v>169.490269</v>
      </c>
      <c r="D12" s="170" t="n">
        <f aca="false">IFERROR($C12/($C$8+$C$6),"-")</f>
        <v>0.973697149150944</v>
      </c>
      <c r="E12" s="171"/>
      <c r="F12" s="170" t="str">
        <f aca="false">IFERROR($E12/($E$8+$E$6),"-")</f>
        <v>-</v>
      </c>
      <c r="G12" s="171" t="n">
        <f aca="false">('PL_26 우리'!P43)/1000000-G14</f>
        <v>0</v>
      </c>
      <c r="H12" s="170" t="str">
        <f aca="false">IFERROR($G12/($G$8+$G$6),"-")</f>
        <v>-</v>
      </c>
      <c r="I12" s="170" t="n">
        <f aca="false">IFERROR(IF(AND(G12&lt;0,C12&lt;0),-(G12-C12)/C12,IF(AND(G12&lt;0,C12&gt;0),(G12-C12)/C12,IF(AND(G12&gt;0,C12&lt;0),-(G12-C12)/C12,IF(ISERROR(G12/C12),"-",(G12-C12)/C12)))),"-")</f>
        <v>-1</v>
      </c>
      <c r="J12" s="170" t="str">
        <f aca="false">IFERROR(IF(AND(G12&lt;0,E12&lt;0),-(G12-E12)/E12,IF(AND(G12&lt;0,E12&gt;0),(G12-E12)/E12,IF(AND(G12&gt;0,E12&lt;0),-(G12-E12)/E12,IF(ISERROR(G12/E12),"-",(G12-E12)/E12)))),"-")</f>
        <v>-</v>
      </c>
      <c r="K12" s="171" t="n">
        <f aca="false">('PL_25 우리'!Q42)/1000000</f>
        <v>279.324558</v>
      </c>
      <c r="L12" s="170" t="n">
        <f aca="false">IFERROR($K12/($K$8+$K$6),"-")</f>
        <v>0.973169935058377</v>
      </c>
      <c r="M12" s="171" t="n">
        <f aca="false">+(0*98.5%)</f>
        <v>0</v>
      </c>
      <c r="N12" s="170" t="str">
        <f aca="false">IFERROR(M12/M$6,"-")</f>
        <v>-</v>
      </c>
      <c r="O12" s="169" t="n">
        <f aca="false">('PL_25 우리'!R42)/1000000</f>
        <v>905.790683</v>
      </c>
      <c r="P12" s="170" t="n">
        <f aca="false">IFERROR($O12/($O$8+$O$6),"-")</f>
        <v>0.911048911116377</v>
      </c>
      <c r="Q12" s="171"/>
      <c r="R12" s="170" t="str">
        <f aca="false">IFERROR($Q12/($Q$8+$Q$6),"-")</f>
        <v>-</v>
      </c>
      <c r="S12" s="171" t="n">
        <f aca="false">(('PL_26 우리'!Q43)/1000000)-S14</f>
        <v>0</v>
      </c>
      <c r="T12" s="170" t="str">
        <f aca="false">IFERROR($S12/($S$8+$S$6),"-")</f>
        <v>-</v>
      </c>
      <c r="U12" s="170" t="n">
        <f aca="false">IFERROR(IF(AND(S12&lt;0,O12&lt;0),-(S12-O12)/O12,IF(AND(S12&lt;0,O12&gt;0),(S12-O12)/O12,IF(AND(S12&gt;0,O12&lt;0),-(S12-O12)/O12,IF(ISERROR(S12/O12),"-",(S12-O12)/O12)))),"-")</f>
        <v>-1</v>
      </c>
      <c r="V12" s="170" t="str">
        <f aca="false">IFERROR(IF(AND(S12&lt;0,Q12&lt;0),-(S12-Q12)/Q12,IF(AND(S12&lt;0,Q12&gt;0),(S12-Q12)/Q12,IF(AND(S12&gt;0,Q12&lt;0),-(S12-Q12)/Q12,IF(ISERROR(S12/Q12),"-",(S12-Q12)/Q12)))),"-")</f>
        <v>-</v>
      </c>
      <c r="Y12" s="172" t="s">
        <v>245</v>
      </c>
      <c r="Z12" s="172" t="s">
        <v>245</v>
      </c>
      <c r="AA12" s="172" t="s">
        <v>245</v>
      </c>
      <c r="AC12" s="165" t="s">
        <v>247</v>
      </c>
      <c r="AD12" s="166" t="s">
        <v>247</v>
      </c>
      <c r="AH12" s="167"/>
    </row>
    <row r="13" customFormat="false" ht="24.75" hidden="true" customHeight="true" outlineLevel="0" collapsed="false">
      <c r="B13" s="173" t="s">
        <v>248</v>
      </c>
      <c r="C13" s="169" t="n">
        <v>0</v>
      </c>
      <c r="D13" s="174"/>
      <c r="E13" s="169" t="n">
        <v>0</v>
      </c>
      <c r="F13" s="174" t="n">
        <f aca="false">IFERROR($C13/($C$8+$C$6),"-")</f>
        <v>0</v>
      </c>
      <c r="G13" s="169" t="n">
        <f aca="false">('PL_26 우리'!P17)/1000000</f>
        <v>0</v>
      </c>
      <c r="H13" s="174" t="n">
        <f aca="false">IFERROR($C13/($C$8+$C$6),"-")</f>
        <v>0</v>
      </c>
      <c r="I13" s="174" t="str">
        <f aca="false">IFERROR(IF(AND(G13&lt;0,C13&lt;0),-(G13-C13)/C13,IF(AND(G13&lt;0,C13&gt;0),(G13-C13)/C13,IF(AND(G13&gt;0,C13&lt;0),-(G13-C13)/C13,IF(ISERROR(G13/C13),"-",(G13-C13)/C13)))),"-")</f>
        <v>-</v>
      </c>
      <c r="J13" s="174" t="str">
        <f aca="false">IFERROR(IF(AND(G13&lt;0,E13&lt;0),-(G13-E13)/E13,IF(AND(G13&lt;0,E13&gt;0),(G13-E13)/E13,IF(AND(G13&gt;0,E13&lt;0),-(G13-E13)/E13,IF(ISERROR(G13/E13),"-",(G13-E13)/E13)))),"-")</f>
        <v>-</v>
      </c>
      <c r="K13" s="169" t="n">
        <v>0</v>
      </c>
      <c r="L13" s="174" t="n">
        <f aca="false">IFERROR($C13/($C$8+$C$6),"-")</f>
        <v>0</v>
      </c>
      <c r="M13" s="169" t="n">
        <v>0</v>
      </c>
      <c r="N13" s="174" t="str">
        <f aca="false">IFERROR($M13/($M$8+$M$6),"-")</f>
        <v>-</v>
      </c>
      <c r="O13" s="169" t="n">
        <v>0</v>
      </c>
      <c r="P13" s="174" t="n">
        <f aca="false">IFERROR($C13/($C$8+$C$6),"-")</f>
        <v>0</v>
      </c>
      <c r="Q13" s="169" t="n">
        <v>0</v>
      </c>
      <c r="R13" s="174" t="n">
        <f aca="false">IFERROR($C13/($C$8+$C$6),"-")</f>
        <v>0</v>
      </c>
      <c r="S13" s="169" t="n">
        <f aca="false">'PL_25 우리'!R17/1000000</f>
        <v>0</v>
      </c>
      <c r="T13" s="174" t="n">
        <f aca="false">IFERROR($C13/($C$8+$C$6),"-")</f>
        <v>0</v>
      </c>
      <c r="U13" s="174" t="str">
        <f aca="false">IFERROR(IF(AND(S13&lt;0,O13&lt;0),-(S13-O13)/O13,IF(AND(S13&lt;0,O13&gt;0),(S13-O13)/O13,IF(AND(S13&gt;0,O13&lt;0),-(S13-O13)/O13,IF(ISERROR(S13/O13),"-",(S13-O13)/O13)))),"-")</f>
        <v>-</v>
      </c>
      <c r="V13" s="174" t="str">
        <f aca="false">IFERROR(IF(AND(S13&lt;0,Q13&lt;0),-(S13-Q13)/Q13,IF(AND(S13&lt;0,Q13&gt;0),(S13-Q13)/Q13,IF(AND(S13&gt;0,Q13&lt;0),-(S13-Q13)/Q13,IF(ISERROR(S13/Q13),"-",(S13-Q13)/Q13)))),"-")</f>
        <v>-</v>
      </c>
      <c r="Y13" s="108"/>
      <c r="Z13" s="108"/>
      <c r="AC13" s="165"/>
      <c r="AD13" s="166"/>
      <c r="AE13" s="108"/>
      <c r="AH13" s="167"/>
    </row>
    <row r="14" customFormat="false" ht="24.75" hidden="true" customHeight="true" outlineLevel="0" collapsed="false">
      <c r="B14" s="175" t="s">
        <v>249</v>
      </c>
      <c r="C14" s="169" t="n">
        <v>0</v>
      </c>
      <c r="D14" s="174" t="n">
        <f aca="false">IFERROR($C14/($C$8+$C$6+$C$10),"-")</f>
        <v>0</v>
      </c>
      <c r="E14" s="169" t="n">
        <v>0</v>
      </c>
      <c r="F14" s="174" t="str">
        <f aca="false">IFERROR($E14/($E$8+$E$6),"-")</f>
        <v>-</v>
      </c>
      <c r="G14" s="169" t="n">
        <f aca="false">('PL_26 우리'!P12+'PL_26 우리'!P10+'PL_26 우리'!P6)/1000000</f>
        <v>0</v>
      </c>
      <c r="H14" s="174" t="str">
        <f aca="false">IFERROR($G14/($G$8+$G$6),"-")</f>
        <v>-</v>
      </c>
      <c r="I14" s="174" t="str">
        <f aca="false">IFERROR(IF(AND(G14&lt;0,C14&lt;0),-(G14-C14)/C14,IF(AND(G14&lt;0,C14&gt;0),(G14-C14)/C14,IF(AND(G14&gt;0,C14&lt;0),-(G14-C14)/C14,IF(ISERROR(G14/C14),"-",(G14-C14)/C14)))),"-")</f>
        <v>-</v>
      </c>
      <c r="J14" s="174" t="str">
        <f aca="false">IFERROR(IF(AND(G14&lt;0,E14&lt;0),-(G14-E14)/E14,IF(AND(G14&lt;0,E14&gt;0),(G14-E14)/E14,IF(AND(G14&gt;0,E14&lt;0),-(G14-E14)/E14,IF(ISERROR(G14/E14),"-",(G14-E14)/E14)))),"-")</f>
        <v>-</v>
      </c>
      <c r="K14" s="169" t="n">
        <v>0</v>
      </c>
      <c r="L14" s="174" t="n">
        <f aca="false">IFERROR($K14/($K$8+$K$6),"-")</f>
        <v>0</v>
      </c>
      <c r="M14" s="169"/>
      <c r="N14" s="174" t="str">
        <f aca="false">IFERROR($M14/($M$8+$M$6),"-")</f>
        <v>-</v>
      </c>
      <c r="O14" s="169" t="n">
        <v>0</v>
      </c>
      <c r="P14" s="174" t="n">
        <f aca="false">IFERROR($O14/($O$8+$O$6),"-")</f>
        <v>0</v>
      </c>
      <c r="Q14" s="169" t="n">
        <v>0</v>
      </c>
      <c r="R14" s="174" t="str">
        <f aca="false">IFERROR($Q14/($Q$8+$Q$6),"-")</f>
        <v>-</v>
      </c>
      <c r="S14" s="169" t="n">
        <f aca="false">('PL_26 우리'!Q6+'PL_26 우리'!Q12)/1000000</f>
        <v>0</v>
      </c>
      <c r="T14" s="174" t="str">
        <f aca="false">IFERROR($S14/($S$8+$S$6),"-")</f>
        <v>-</v>
      </c>
      <c r="U14" s="174" t="str">
        <f aca="false">IFERROR(IF(AND(S14&lt;0,O14&lt;0),-(S14-O14)/O14,IF(AND(S14&lt;0,O14&gt;0),(S14-O14)/O14,IF(AND(S14&gt;0,O14&lt;0),-(S14-O14)/O14,IF(ISERROR(S14/O14),"-",(S14-O14)/O14)))),"-")</f>
        <v>-</v>
      </c>
      <c r="V14" s="174" t="str">
        <f aca="false">IFERROR(IF(AND(S14&lt;0,Q14&lt;0),-(S14-Q14)/Q14,IF(AND(S14&lt;0,Q14&gt;0),(S14-Q14)/Q14,IF(AND(S14&gt;0,Q14&lt;0),-(S14-Q14)/Q14,IF(ISERROR(S14/Q14),"-",(S14-Q14)/Q14)))),"-")</f>
        <v>-</v>
      </c>
      <c r="Y14" s="172" t="s">
        <v>248</v>
      </c>
      <c r="Z14" s="172" t="s">
        <v>250</v>
      </c>
      <c r="AA14" s="172" t="s">
        <v>248</v>
      </c>
      <c r="AC14" s="176"/>
      <c r="AD14" s="177" t="s">
        <v>249</v>
      </c>
      <c r="AE14" s="178"/>
      <c r="AF14" s="178"/>
      <c r="AG14" s="178"/>
      <c r="AH14" s="179"/>
    </row>
    <row r="15" customFormat="false" ht="24.75" hidden="false" customHeight="true" outlineLevel="0" collapsed="false">
      <c r="B15" s="128" t="s">
        <v>251</v>
      </c>
      <c r="C15" s="180" t="n">
        <f aca="false">SUM(C12:C14)</f>
        <v>169.490269</v>
      </c>
      <c r="D15" s="118" t="n">
        <f aca="false">IFERROR($C15/($C$8+$C$6+C10),"-")</f>
        <v>0.973697149150944</v>
      </c>
      <c r="E15" s="181" t="n">
        <f aca="false">SUM(E12:E14)</f>
        <v>0</v>
      </c>
      <c r="F15" s="182" t="str">
        <f aca="false">IFERROR($E15/($E$8+$E$6),"-")</f>
        <v>-</v>
      </c>
      <c r="G15" s="183" t="n">
        <f aca="false">SUM(G12:G14)</f>
        <v>0</v>
      </c>
      <c r="H15" s="122" t="str">
        <f aca="false">IFERROR($G15/($G$8+$G$6),"-")</f>
        <v>-</v>
      </c>
      <c r="I15" s="184" t="n">
        <f aca="false">IFERROR(IF(AND((G15+G16)&lt;0,(C15+C16)&lt;0),-((G15+G16)-(C15+C16))/(C15+C16),IF(AND((G15+G16)&lt;0,C15&gt;0),((G15+G16)-(C15+C16))/(C15+C16),IF(AND((G15+G16)&gt;0,(C15+C16)&lt;0),-((G15+G16)-(C15+C16))/(C15+C16),IF(ISERROR((G15+G16)/(C15+C16)),"-",((G15+G16)-(C15+C16))/(C15+C16))))),"-")</f>
        <v>-0.722564156263952</v>
      </c>
      <c r="J15" s="123" t="str">
        <f aca="false">IFERROR(IF(AND((G15+G16)&lt;0,E15&lt;0),-((G15+G16)-E15)/E15,IF(AND((G15+G16)&lt;0,E15&gt;0),((G15+G16)-E15)/E15,IF(AND((G15+G16)&gt;0,E15&lt;0),-((G15+G16)-E15)/E15,IF(ISERROR((G15+G16)/E15),"-",((G15+G16)-E15)/E15)))),"-")</f>
        <v>-</v>
      </c>
      <c r="K15" s="185" t="n">
        <f aca="false">SUM(K12:K14)</f>
        <v>279.324558</v>
      </c>
      <c r="L15" s="186" t="n">
        <f aca="false">IFERROR($K15/($K$8+$K$6),"-")</f>
        <v>0.973169935058377</v>
      </c>
      <c r="M15" s="183" t="n">
        <f aca="false">SUM(M12:M14)</f>
        <v>0</v>
      </c>
      <c r="N15" s="122" t="str">
        <f aca="false">IFERROR($M15/($M$8+$M$6),"-")</f>
        <v>-</v>
      </c>
      <c r="O15" s="180" t="n">
        <f aca="false">SUM(O12:O14)</f>
        <v>905.790683</v>
      </c>
      <c r="P15" s="123" t="n">
        <f aca="false">IFERROR(($O15+$O16)/($O$7+$O$6+$O$10),"-")</f>
        <v>0.977986365893992</v>
      </c>
      <c r="Q15" s="181" t="n">
        <f aca="false">SUM(Q12:Q14)</f>
        <v>0</v>
      </c>
      <c r="R15" s="182" t="n">
        <f aca="false">IFERROR($C15/($C$8+$C$6),"-")</f>
        <v>0.973697149150944</v>
      </c>
      <c r="S15" s="187" t="n">
        <f aca="false">SUM(S12:S14)</f>
        <v>0</v>
      </c>
      <c r="T15" s="188" t="str">
        <f aca="false">IFERROR($S15/($S$8+$S$6),"-")</f>
        <v>-</v>
      </c>
      <c r="U15" s="184" t="n">
        <f aca="false">IFERROR(IF(AND((S15+S16)&lt;0,(O15+O16)&lt;0),-((S15+S16)-(O15+O16))/(O15+O16),IF(AND((S15+S16)&lt;0,O15&gt;0),((S15+S16)-(O15+O16))/(O15+O16),IF(AND((S15+S16)&gt;0,(O15+O16)&lt;0),-((S15+S16)-(O15+O16))/(O15+O16),IF(ISERROR((S15+S16)/(O15+O16)),"-",((S15+S16)-(O15+O16))/(O15+O16))))),"-")</f>
        <v>-0.292916004044953</v>
      </c>
      <c r="V15" s="123" t="str">
        <f aca="false">IFERROR(IF(AND((S15+S16)&lt;0,Q15&lt;0),-((S15+S16)-Q15)/Q15,IF(AND((S15+S16)&lt;0,Q15&gt;0),((S15+S16)-Q15)/Q15,IF(AND((S15+S16)&gt;0,Q15&lt;0),-((S15+S16)-Q15)/Q15,IF(ISERROR((S15+S16)/Q15),"-",((S15+S16)-Q15)/Q15)))),"-")</f>
        <v>-</v>
      </c>
      <c r="Y15" s="125" t="n">
        <f aca="false">(G15+G16)/(C15+C16)-1</f>
        <v>-0.722564156263952</v>
      </c>
      <c r="Z15" s="125" t="n">
        <f aca="false">(S15+S16)/(O15+O16)-1</f>
        <v>-0.292916004044953</v>
      </c>
      <c r="AC15" s="189" t="s">
        <v>238</v>
      </c>
      <c r="AD15" s="190" t="s">
        <v>239</v>
      </c>
      <c r="AE15" s="191" t="s">
        <v>233</v>
      </c>
      <c r="AF15" s="192"/>
      <c r="AG15" s="192"/>
      <c r="AH15" s="193"/>
    </row>
    <row r="16" s="156" customFormat="true" ht="24.75" hidden="false" customHeight="true" outlineLevel="0" collapsed="false">
      <c r="A16" s="98"/>
      <c r="B16" s="194" t="s">
        <v>252</v>
      </c>
      <c r="C16" s="195" t="n">
        <f aca="false">(+'PL_25 우리'!P38+'PL_25 우리'!P66+'PL_25 우리'!P65)/1000000</f>
        <v>191.204051</v>
      </c>
      <c r="D16" s="196" t="n">
        <f aca="false">IFERROR(C16/C$7,"-")</f>
        <v>0.958839088505953</v>
      </c>
      <c r="E16" s="181"/>
      <c r="F16" s="182"/>
      <c r="G16" s="197" t="n">
        <f aca="false">('PL_26 우리'!P38+'PL_26 우리'!P67+'PL_26 우리'!P66)/1000000</f>
        <v>100.069533</v>
      </c>
      <c r="H16" s="198" t="n">
        <f aca="false">IFERROR(G16/G$7,"-")</f>
        <v>0.748467909256844</v>
      </c>
      <c r="I16" s="184"/>
      <c r="J16" s="123"/>
      <c r="K16" s="195" t="n">
        <f aca="false">(+'PL_25 우리'!Q38+'PL_25 우리'!Q66+'PL_25 우리'!Q65)/1000000</f>
        <v>79.506097</v>
      </c>
      <c r="L16" s="199" t="n">
        <f aca="false">IFERROR($K16/($K$8+$K$7),"-")</f>
        <v>0.975244740365661</v>
      </c>
      <c r="M16" s="197" t="n">
        <v>145</v>
      </c>
      <c r="N16" s="198" t="n">
        <f aca="false">IFERROR(M16/M$7,"-")</f>
        <v>0.993150684931507</v>
      </c>
      <c r="O16" s="200" t="n">
        <f aca="false">(+'PL_25 우리'!R38)/1000000</f>
        <v>1820.187751</v>
      </c>
      <c r="P16" s="123"/>
      <c r="Q16" s="123"/>
      <c r="R16" s="182"/>
      <c r="S16" s="201" t="n">
        <f aca="false">(+'PL_26 우리'!Q38+'PL_26 우리'!Q67+'PL_26 우리'!Q66)/1000000</f>
        <v>1927.495724</v>
      </c>
      <c r="T16" s="202" t="n">
        <f aca="false">IFERROR(S16/S$7,"-")</f>
        <v>0.872458355187898</v>
      </c>
      <c r="U16" s="184"/>
      <c r="V16" s="123"/>
      <c r="W16" s="98"/>
      <c r="X16" s="98"/>
      <c r="Y16" s="98"/>
      <c r="Z16" s="98"/>
      <c r="AA16" s="98"/>
      <c r="AB16" s="98"/>
      <c r="AC16" s="203" t="s">
        <v>245</v>
      </c>
      <c r="AD16" s="159" t="s">
        <v>242</v>
      </c>
      <c r="AE16" s="204" t="s">
        <v>253</v>
      </c>
      <c r="AH16" s="161"/>
    </row>
    <row r="17" s="154" customFormat="true" ht="24.75" hidden="false" customHeight="true" outlineLevel="0" collapsed="false">
      <c r="A17" s="98"/>
      <c r="B17" s="162" t="s">
        <v>254</v>
      </c>
      <c r="C17" s="163" t="n">
        <f aca="false">SUM(C15:C16)</f>
        <v>360.69432</v>
      </c>
      <c r="D17" s="164" t="n">
        <f aca="false">IFERROR(C17/C$11,"-")</f>
        <v>0.965764007695753</v>
      </c>
      <c r="E17" s="163" t="n">
        <f aca="false">SUM(E15:E16)</f>
        <v>0</v>
      </c>
      <c r="F17" s="164" t="str">
        <f aca="false">IFERROR(E17/E$11,"-")</f>
        <v>-</v>
      </c>
      <c r="G17" s="163" t="n">
        <f aca="false">SUM(G15:G16)</f>
        <v>100.069533</v>
      </c>
      <c r="H17" s="164" t="n">
        <f aca="false">IFERROR(G17/G$11,"-")</f>
        <v>0.748467909256844</v>
      </c>
      <c r="I17" s="164" t="n">
        <f aca="false">IF(C17&lt;0,(G17-C17)/ABS(C17),(G17-C17)/C17)</f>
        <v>-0.722564156263952</v>
      </c>
      <c r="J17" s="164" t="str">
        <f aca="false">IFERROR(IF(AND(G17&lt;0,E17&lt;0),-(G17-E17)/E17,IF(AND(G17&lt;0,E17&gt;0),(G17-E17)/E17,IF(AND(G17&gt;0,E17&lt;0),-(G17-E17)/E17,IF(ISERROR(G17/E17),"-",(G17-E17)/E17)))),"-")</f>
        <v>-</v>
      </c>
      <c r="K17" s="163" t="n">
        <f aca="false">SUM(K15:K16)</f>
        <v>358.830655</v>
      </c>
      <c r="L17" s="164" t="n">
        <f aca="false">IFERROR(K17/K$11,"-")</f>
        <v>0.973628887918762</v>
      </c>
      <c r="M17" s="163" t="n">
        <f aca="false">SUM(M15:M16)</f>
        <v>145</v>
      </c>
      <c r="N17" s="164" t="n">
        <f aca="false">IFERROR(M17/M$11,"-")</f>
        <v>0.993150684931507</v>
      </c>
      <c r="O17" s="163" t="n">
        <f aca="false">SUM(O15:O16)</f>
        <v>2725.978434</v>
      </c>
      <c r="P17" s="164" t="n">
        <f aca="false">IFERROR(O17/O$11,"-")</f>
        <v>0.977986365893992</v>
      </c>
      <c r="Q17" s="163" t="n">
        <f aca="false">SUM(Q15:Q16)</f>
        <v>0</v>
      </c>
      <c r="R17" s="164" t="str">
        <f aca="false">IFERROR(Q17/Q$11,"-")</f>
        <v>-</v>
      </c>
      <c r="S17" s="163" t="n">
        <f aca="false">SUM(S15:S16)</f>
        <v>1927.495724</v>
      </c>
      <c r="T17" s="164" t="n">
        <f aca="false">IFERROR(S17/S$11,"-")</f>
        <v>0.872458355187898</v>
      </c>
      <c r="U17" s="164" t="n">
        <f aca="false">IF(O17&lt;0,(S17-O17)/ABS(O17),(S17-O17)/O17)</f>
        <v>-0.292916004044953</v>
      </c>
      <c r="V17" s="164" t="str">
        <f aca="false">IFERROR(IF(AND(S17&lt;0,Q17&lt;0),-(S17-Q17)/Q17,IF(AND(S17&lt;0,Q17&gt;0),(S17-Q17)/Q17,IF(AND(S17&gt;0,Q17&lt;0),-(S17-Q17)/Q17,IF(ISERROR(S17/Q17),"-",(S17-Q17)/Q17)))),"-")</f>
        <v>-</v>
      </c>
      <c r="W17" s="98"/>
      <c r="X17" s="98"/>
      <c r="Y17" s="125" t="n">
        <f aca="false">(G17)/(C17)-1</f>
        <v>-0.722564156263952</v>
      </c>
      <c r="Z17" s="125" t="n">
        <f aca="false">(S17)/(O17)-1</f>
        <v>-0.292916004044953</v>
      </c>
      <c r="AA17" s="98"/>
      <c r="AB17" s="98"/>
      <c r="AC17" s="151"/>
      <c r="AD17" s="152"/>
      <c r="AE17" s="205"/>
      <c r="AH17" s="155"/>
    </row>
    <row r="18" customFormat="false" ht="24.75" hidden="false" customHeight="true" outlineLevel="0" collapsed="false">
      <c r="B18" s="206" t="s">
        <v>255</v>
      </c>
      <c r="C18" s="207" t="n">
        <f aca="false">C11-C17</f>
        <v>12.786486</v>
      </c>
      <c r="D18" s="208" t="n">
        <f aca="false">IFERROR(C18/C$11,"-")</f>
        <v>0.0342359923042472</v>
      </c>
      <c r="E18" s="207" t="n">
        <f aca="false">E11-E17</f>
        <v>0</v>
      </c>
      <c r="F18" s="208" t="str">
        <f aca="false">IFERROR(E18/E$11,"-")</f>
        <v>-</v>
      </c>
      <c r="G18" s="207" t="n">
        <f aca="false">G11-G17</f>
        <v>33.62963</v>
      </c>
      <c r="H18" s="208" t="n">
        <f aca="false">IFERROR(G18/G$11,"-")</f>
        <v>0.251532090743156</v>
      </c>
      <c r="I18" s="208" t="n">
        <f aca="false">IFERROR(IF(ROUND(C18,0)&lt;0,
  (ROUND(G18,0)-ROUND(C18,0))/ABS(ROUND(C18,0)),
  (ROUND(G18,0)-ROUND(C18,0))/ROUND(C18,0)),
"-")</f>
        <v>1.61538461538462</v>
      </c>
      <c r="J18" s="208" t="str">
        <f aca="false">IFERROR(IF(AND(G18&lt;0,E18&lt;0),-(G18-E18)/E18,IF(AND(G18&lt;0,E18&gt;0),(G18-E18)/E18,IF(AND(G18&gt;0,E18&lt;0),-(G18-E18)/E18,IF(ISERROR(G18/E18),"-",(G18-E18)/E18)))),"-")</f>
        <v>-</v>
      </c>
      <c r="K18" s="207" t="n">
        <f aca="false">K11-K17</f>
        <v>9.71906599999994</v>
      </c>
      <c r="L18" s="208" t="n">
        <f aca="false">IFERROR(K18/K$11,"-")</f>
        <v>0.0263711120812379</v>
      </c>
      <c r="M18" s="207" t="n">
        <f aca="false">M11-M17</f>
        <v>1</v>
      </c>
      <c r="N18" s="208" t="n">
        <f aca="false">IFERROR(M18/M$11,"-")</f>
        <v>0.00684931506849315</v>
      </c>
      <c r="O18" s="207" t="n">
        <f aca="false">O11-O17</f>
        <v>61.3594360000006</v>
      </c>
      <c r="P18" s="208" t="n">
        <f aca="false">IFERROR(O18/O$11,"-")</f>
        <v>0.0220136341060083</v>
      </c>
      <c r="Q18" s="207" t="n">
        <f aca="false">Q11-Q17</f>
        <v>0</v>
      </c>
      <c r="R18" s="208" t="str">
        <f aca="false">IFERROR(Q18/Q$11,"-")</f>
        <v>-</v>
      </c>
      <c r="S18" s="207" t="n">
        <f aca="false">S11-S17</f>
        <v>281.773879</v>
      </c>
      <c r="T18" s="208" t="n">
        <f aca="false">IFERROR(S18/S$11,"-")</f>
        <v>0.127541644812102</v>
      </c>
      <c r="U18" s="208" t="n">
        <f aca="false">IFERROR(IF(ROUND(O18,0)&lt;0,
  (ROUND(S18,0)-ROUND(O18,0))/ABS(ROUND(O18,0)),
  (ROUND(S18,0)-ROUND(O18,0))/ROUND(O18,0)),
"-")</f>
        <v>3.62295081967213</v>
      </c>
      <c r="V18" s="208" t="str">
        <f aca="false">IFERROR(IF(AND(S18&lt;0,Q18&lt;0),-(S18-Q18)/Q18,IF(AND(S18&lt;0,Q18&gt;0),(S18-Q18)/Q18,IF(AND(S18&gt;0,Q18&lt;0),-(S18-Q18)/Q18,IF(ISERROR(S18/Q18),"-",(S18-Q18)/Q18)))),"-")</f>
        <v>-</v>
      </c>
      <c r="Y18" s="125" t="n">
        <f aca="false">(G18)/(C18)-1</f>
        <v>1.63009164519477</v>
      </c>
      <c r="Z18" s="125" t="n">
        <f aca="false">(S18)/(O18)-1</f>
        <v>3.59218495750184</v>
      </c>
      <c r="AC18" s="165" t="s">
        <v>247</v>
      </c>
      <c r="AD18" s="166" t="s">
        <v>245</v>
      </c>
      <c r="AH18" s="167"/>
    </row>
    <row r="19" customFormat="false" ht="24.75" hidden="false" customHeight="true" outlineLevel="0" collapsed="false">
      <c r="B19" s="116" t="s">
        <v>256</v>
      </c>
      <c r="C19" s="135" t="n">
        <f aca="false">'PL_25 우리'!P89/1000000-C20</f>
        <v>14.766823</v>
      </c>
      <c r="D19" s="120" t="n">
        <f aca="false">IFERROR(C19/C$11,"-")</f>
        <v>0.0395383718862382</v>
      </c>
      <c r="E19" s="119"/>
      <c r="F19" s="120" t="str">
        <f aca="false">IFERROR(E19/E$11,"-")</f>
        <v>-</v>
      </c>
      <c r="G19" s="121" t="n">
        <f aca="false">'PL_26 우리'!P91/1000000-G20</f>
        <v>5.872087</v>
      </c>
      <c r="H19" s="132" t="n">
        <f aca="false">IFERROR(G19/G$11,"-")</f>
        <v>0.0439201478022716</v>
      </c>
      <c r="I19" s="209" t="n">
        <f aca="false">IFERROR(IF(ROUND(C19,0)&lt;0,
(ROUND(G19,0)-ROUND(C19,0))/ABS(ROUND(C19,0)),
(ROUND(G19,0)-ROUND(C19,0))/ROUND(C19,0)),
"-")</f>
        <v>-0.6</v>
      </c>
      <c r="J19" s="209" t="str">
        <f aca="false">IFERROR(IF(AND(G19&lt;0,E19&lt;0),-(G19-E19)/E19,IF(AND(G19&lt;0,E19&gt;0),(G19-E19)/E19,IF(AND(G19&gt;0,E19&lt;0),-(G19-E19)/E19,IF(ISERROR(G19/E19),"-",(G19-E19)/E19)))),"-")</f>
        <v>-</v>
      </c>
      <c r="K19" s="119" t="n">
        <f aca="false">'PL_25 우리'!Q89/1000000-K20</f>
        <v>12.243907</v>
      </c>
      <c r="L19" s="120" t="n">
        <f aca="false">IFERROR(K19/K$11,"-")</f>
        <v>0.0332218593648047</v>
      </c>
      <c r="M19" s="121" t="n">
        <f aca="false">18-M20</f>
        <v>6.3</v>
      </c>
      <c r="N19" s="122" t="n">
        <f aca="false">IFERROR(M19/M$11,"-")</f>
        <v>0.0431506849315069</v>
      </c>
      <c r="O19" s="119" t="n">
        <f aca="false">'PL_25 우리'!R89/1000000-O20</f>
        <v>92.34805</v>
      </c>
      <c r="P19" s="120" t="n">
        <f aca="false">IFERROR(O19/O$11,"-")</f>
        <v>0.0331312723132485</v>
      </c>
      <c r="Q19" s="119"/>
      <c r="R19" s="120" t="str">
        <f aca="false">IFERROR(Q19/Q$11,"-")</f>
        <v>-</v>
      </c>
      <c r="S19" s="121" t="n">
        <f aca="false">'PL_26 우리'!Q91/1000000-S20</f>
        <v>50.563642</v>
      </c>
      <c r="T19" s="122" t="n">
        <f aca="false">IFERROR(S19/S$11,"-")</f>
        <v>0.0228870401020042</v>
      </c>
      <c r="U19" s="120" t="n">
        <f aca="false">IF(O19&lt;0,(S19-O19)/ABS(O19),(S19-O19)/O19)</f>
        <v>-0.452466597832873</v>
      </c>
      <c r="V19" s="120" t="str">
        <f aca="false">IFERROR(IF(AND(S19&lt;0,Q19&lt;0),-(S19-Q19)/Q19,IF(AND(S19&lt;0,Q19&gt;0),(S19-Q19)/Q19,IF(AND(S19&gt;0,Q19&lt;0),-(S19-Q19)/Q19,IF(ISERROR(S19/Q19),"-",(S19-Q19)/Q19)))),"-")</f>
        <v>-</v>
      </c>
      <c r="Y19" s="125" t="n">
        <f aca="false">(G19)/(C19)-1</f>
        <v>-0.602345948075629</v>
      </c>
      <c r="Z19" s="125" t="n">
        <f aca="false">(S19)/(O19)-1</f>
        <v>-0.452466597832873</v>
      </c>
      <c r="AC19" s="165" t="s">
        <v>257</v>
      </c>
      <c r="AD19" s="166" t="s">
        <v>247</v>
      </c>
      <c r="AH19" s="167"/>
    </row>
    <row r="20" customFormat="false" ht="24.75" hidden="false" customHeight="true" outlineLevel="0" collapsed="false">
      <c r="B20" s="128" t="s">
        <v>258</v>
      </c>
      <c r="C20" s="135" t="n">
        <v>11.7</v>
      </c>
      <c r="D20" s="210" t="n">
        <f aca="false">IFERROR(C20/C$11,"-")</f>
        <v>0.0313269110809405</v>
      </c>
      <c r="E20" s="135"/>
      <c r="F20" s="210" t="str">
        <f aca="false">IFERROR(E20/E$11,"-")</f>
        <v>-</v>
      </c>
      <c r="G20" s="131" t="n">
        <f aca="false">11.7</f>
        <v>11.7</v>
      </c>
      <c r="H20" s="132" t="n">
        <f aca="false">IFERROR(G20/G$11,"-")</f>
        <v>0.0875098971262819</v>
      </c>
      <c r="I20" s="210" t="n">
        <f aca="false">IFERROR(IF(ROUND(C20,0)&lt;0,
(ROUND(G20,0)-ROUND(C20,0))/ABS(ROUND(C20,0)),
(ROUND(G20,0)-ROUND(C20,0))/ROUND(C20,0)),
"-")</f>
        <v>0</v>
      </c>
      <c r="J20" s="210" t="str">
        <f aca="false">IFERROR(IF(AND(G20&lt;0,E20&lt;0),-(G20-E20)/E20,IF(AND(G20&lt;0,E20&gt;0),(G20-E20)/E20,IF(AND(G20&gt;0,E20&lt;0),-(G20-E20)/E20,IF(ISERROR(G20/E20),"-",(G20-E20)/E20)))),"-")</f>
        <v>-</v>
      </c>
      <c r="K20" s="135" t="n">
        <v>12</v>
      </c>
      <c r="L20" s="210" t="n">
        <f aca="false">IFERROR(K20/K$11,"-")</f>
        <v>0.0325600572086717</v>
      </c>
      <c r="M20" s="131" t="n">
        <f aca="false">11.7</f>
        <v>11.7</v>
      </c>
      <c r="N20" s="132" t="n">
        <f aca="false">IFERROR(M20/M$11,"-")</f>
        <v>0.0801369863013699</v>
      </c>
      <c r="O20" s="211" t="n">
        <f aca="false">11.7*7+2</f>
        <v>83.9</v>
      </c>
      <c r="P20" s="210" t="n">
        <f aca="false">IFERROR(O20/O$11,"-")</f>
        <v>0.030100405445286</v>
      </c>
      <c r="Q20" s="135"/>
      <c r="R20" s="210" t="str">
        <f aca="false">IFERROR(Q20/Q$11,"-")</f>
        <v>-</v>
      </c>
      <c r="S20" s="212" t="n">
        <f aca="false">(11.7*6)+G20+1</f>
        <v>82.9</v>
      </c>
      <c r="T20" s="132" t="n">
        <f aca="false">IFERROR(S20/S$11,"-")</f>
        <v>0.0375237136687296</v>
      </c>
      <c r="U20" s="210" t="n">
        <f aca="false">IF(O20&lt;0,(S20-O20)/ABS(O20),(S20-O20)/O20)</f>
        <v>-0.0119189511323004</v>
      </c>
      <c r="V20" s="210" t="str">
        <f aca="false">IFERROR(IF(AND(S20&lt;0,Q20&lt;0),-(S20-Q20)/Q20,IF(AND(S20&lt;0,Q20&gt;0),(S20-Q20)/Q20,IF(AND(S20&gt;0,Q20&lt;0),-(S20-Q20)/Q20,IF(ISERROR(S20/Q20),"-",(S20-Q20)/Q20)))),"-")</f>
        <v>-</v>
      </c>
      <c r="Y20" s="125" t="n">
        <f aca="false">(G20)/(C20)-1</f>
        <v>0</v>
      </c>
      <c r="Z20" s="125" t="n">
        <f aca="false">(S20)/(O20)-1</f>
        <v>-0.0119189511323003</v>
      </c>
      <c r="AC20" s="165" t="s">
        <v>242</v>
      </c>
      <c r="AD20" s="166" t="s">
        <v>250</v>
      </c>
      <c r="AH20" s="167"/>
    </row>
    <row r="21" customFormat="false" ht="24.75" hidden="false" customHeight="true" outlineLevel="0" collapsed="false">
      <c r="B21" s="128" t="s">
        <v>129</v>
      </c>
      <c r="C21" s="135" t="n">
        <f aca="false">('PL_25 우리'!P91-'PL_25 우리'!P65-'PL_25 우리'!P66)/1000000</f>
        <v>6.572637</v>
      </c>
      <c r="D21" s="210" t="n">
        <f aca="false">IFERROR(C21/C$11,"-")</f>
        <v>0.0175983260569487</v>
      </c>
      <c r="E21" s="135"/>
      <c r="F21" s="210" t="str">
        <f aca="false">IFERROR(E21/E$11,"-")</f>
        <v>-</v>
      </c>
      <c r="G21" s="131" t="n">
        <f aca="false">('PL_26 우리'!P93-'PL_26 우리'!P67-'PL_26 우리'!P66)/1000000</f>
        <v>11.020745</v>
      </c>
      <c r="H21" s="132" t="n">
        <f aca="false">IFERROR(G21/G$11,"-")</f>
        <v>0.0824294240346142</v>
      </c>
      <c r="I21" s="210" t="n">
        <f aca="false">IFERROR(IF(ROUND(C21,0)&lt;0,
(ROUND(G21,0)-ROUND(C21,0))/ABS(ROUND(C21,0)),
(ROUND(G21,0)-ROUND(C21,0))/ROUND(C21,0)),
"-")</f>
        <v>0.571428571428571</v>
      </c>
      <c r="J21" s="210" t="str">
        <f aca="false">IFERROR(IF(AND(G21&lt;0,E21&lt;0),-(G21-E21)/E21,IF(AND(G21&lt;0,E21&gt;0),(G21-E21)/E21,IF(AND(G21&gt;0,E21&lt;0),-(G21-E21)/E21,IF(ISERROR(G21/E21),"-",(G21-E21)/E21)))),"-")</f>
        <v>-</v>
      </c>
      <c r="K21" s="135" t="n">
        <f aca="false">('PL_25 우리'!Q91-'PL_25 우리'!Q65-'PL_25 우리'!Q66)/1000000</f>
        <v>6.196322</v>
      </c>
      <c r="L21" s="210" t="n">
        <f aca="false">IFERROR(K21/K$11,"-")</f>
        <v>0.0168127165669459</v>
      </c>
      <c r="M21" s="131" t="n">
        <v>6</v>
      </c>
      <c r="N21" s="132" t="n">
        <f aca="false">IFERROR(M21/M$11,"-")</f>
        <v>0.0410958904109589</v>
      </c>
      <c r="O21" s="135" t="n">
        <f aca="false">('PL_25 우리'!R91)/1000000</f>
        <v>123.404473</v>
      </c>
      <c r="P21" s="210" t="n">
        <f aca="false">IFERROR(O21/O$11,"-")</f>
        <v>0.0442732380341103</v>
      </c>
      <c r="Q21" s="135"/>
      <c r="R21" s="210" t="str">
        <f aca="false">IFERROR(Q21/Q$11,"-")</f>
        <v>-</v>
      </c>
      <c r="S21" s="131" t="n">
        <f aca="false">('PL_26 우리'!Q93-'PL_26 우리'!Q67-'PL_26 우리'!Q66)/1000000</f>
        <v>75.575191</v>
      </c>
      <c r="T21" s="132" t="n">
        <f aca="false">IFERROR(S21/S$11,"-")</f>
        <v>0.0342082246989572</v>
      </c>
      <c r="U21" s="210" t="n">
        <f aca="false">IF(O21&lt;0,(S21-O21)/ABS(O21),(S21-O21)/O21)</f>
        <v>-0.387581429078345</v>
      </c>
      <c r="V21" s="210" t="str">
        <f aca="false">IFERROR(IF(AND(S21&lt;0,Q21&lt;0),-(S21-Q21)/Q21,IF(AND(S21&lt;0,Q21&gt;0),(S21-Q21)/Q21,IF(AND(S21&gt;0,Q21&lt;0),-(S21-Q21)/Q21,IF(ISERROR(S21/Q21),"-",(S21-Q21)/Q21)))),"-")</f>
        <v>-</v>
      </c>
      <c r="Y21" s="125" t="n">
        <f aca="false">(G21)/(C21)-1</f>
        <v>0.676761549435942</v>
      </c>
      <c r="Z21" s="125" t="n">
        <f aca="false">(S21)/(O21)-1</f>
        <v>-0.387581429078345</v>
      </c>
      <c r="AC21" s="213" t="s">
        <v>259</v>
      </c>
      <c r="AD21" s="177" t="s">
        <v>249</v>
      </c>
      <c r="AE21" s="178"/>
      <c r="AF21" s="178"/>
      <c r="AG21" s="178"/>
      <c r="AH21" s="179"/>
    </row>
    <row r="22" customFormat="false" ht="24.75" hidden="false" customHeight="true" outlineLevel="0" collapsed="false">
      <c r="B22" s="194" t="s">
        <v>130</v>
      </c>
      <c r="C22" s="214" t="n">
        <f aca="false">'PL_25 우리'!P92/1000000</f>
        <v>0.30113</v>
      </c>
      <c r="D22" s="215" t="n">
        <f aca="false">IFERROR(C22/C$11,"-")</f>
        <v>0.000806279720837916</v>
      </c>
      <c r="E22" s="214"/>
      <c r="F22" s="215" t="str">
        <f aca="false">IFERROR(E22/E$11,"-")</f>
        <v>-</v>
      </c>
      <c r="G22" s="201" t="n">
        <f aca="false">'PL_26 우리'!P94/1000000</f>
        <v>0.30113</v>
      </c>
      <c r="H22" s="198" t="n">
        <f aca="false">IFERROR(G22/G$11,"-")</f>
        <v>0.00225229532663566</v>
      </c>
      <c r="I22" s="215" t="str">
        <f aca="false">IFERROR(IF(ROUND(C22,0)&lt;0,
(ROUND(G22,0)-ROUND(C22,0))/ABS(ROUND(C22,0)),
(ROUND(G22,0)-ROUND(C22,0))/ROUND(C22,0)),
"-")</f>
        <v>-</v>
      </c>
      <c r="J22" s="215" t="str">
        <f aca="false">IFERROR(IF(AND(G22&lt;0,E22&lt;0),-(G22-E22)/E22,IF(AND(G22&lt;0,E22&gt;0),(G22-E22)/E22,IF(AND(G22&gt;0,E22&lt;0),-(G22-E22)/E22,IF(ISERROR(G22/E22),"-",(G22-E22)/E22)))),"-")</f>
        <v>-</v>
      </c>
      <c r="K22" s="214" t="n">
        <f aca="false">'PL_25 우리'!Q92/1000000</f>
        <v>0.30113</v>
      </c>
      <c r="L22" s="215" t="n">
        <f aca="false">IFERROR(K22/K$11,"-")</f>
        <v>0.00081706750227061</v>
      </c>
      <c r="M22" s="201" t="n">
        <v>0</v>
      </c>
      <c r="N22" s="198" t="n">
        <f aca="false">IFERROR(M22/M$11,"-")</f>
        <v>0</v>
      </c>
      <c r="O22" s="214" t="n">
        <f aca="false">'PL_25 우리'!R92/1000000</f>
        <v>2.10791</v>
      </c>
      <c r="P22" s="215" t="n">
        <f aca="false">IFERROR(O22/O$11,"-")</f>
        <v>0.000756244882505041</v>
      </c>
      <c r="Q22" s="214"/>
      <c r="R22" s="215" t="str">
        <f aca="false">IFERROR(Q22/Q$11,"-")</f>
        <v>-</v>
      </c>
      <c r="S22" s="201" t="n">
        <f aca="false">'PL_26 우리'!Q94/1000000</f>
        <v>2.10791</v>
      </c>
      <c r="T22" s="198" t="n">
        <f aca="false">IFERROR(S22/S$11,"-")</f>
        <v>0.000954120763322701</v>
      </c>
      <c r="U22" s="215" t="n">
        <f aca="false">IF(O22&lt;0,(S22-O22)/ABS(O22),(S22-O22)/O22)</f>
        <v>0</v>
      </c>
      <c r="V22" s="215" t="str">
        <f aca="false">IFERROR(IF(AND(S22&lt;0,Q22&lt;0),-(S22-Q22)/Q22,IF(AND(S22&lt;0,Q22&gt;0),(S22-Q22)/Q22,IF(AND(S22&gt;0,Q22&lt;0),-(S22-Q22)/Q22,IF(ISERROR(S22/Q22),"-",(S22-Q22)/Q22)))),"-")</f>
        <v>-</v>
      </c>
      <c r="Y22" s="125" t="n">
        <f aca="false">(G22)/(C22)-1</f>
        <v>0</v>
      </c>
      <c r="Z22" s="125" t="n">
        <f aca="false">(S22)/(O22)-1</f>
        <v>0</v>
      </c>
    </row>
    <row r="23" customFormat="false" ht="24.75" hidden="false" customHeight="true" outlineLevel="0" collapsed="false">
      <c r="B23" s="216" t="s">
        <v>260</v>
      </c>
      <c r="C23" s="217" t="n">
        <f aca="false">SUM(C19:C22)</f>
        <v>33.34059</v>
      </c>
      <c r="D23" s="218" t="n">
        <f aca="false">IFERROR(C23/C$11,"-")</f>
        <v>0.0892698887449654</v>
      </c>
      <c r="E23" s="217" t="n">
        <f aca="false">SUM(E19:E22)</f>
        <v>0</v>
      </c>
      <c r="F23" s="218" t="str">
        <f aca="false">IFERROR(E23/E$11,"-")</f>
        <v>-</v>
      </c>
      <c r="G23" s="163" t="n">
        <f aca="false">SUM(G19:G22)</f>
        <v>28.893962</v>
      </c>
      <c r="H23" s="164" t="n">
        <f aca="false">IFERROR(G23/G$11,"-")</f>
        <v>0.216111764289803</v>
      </c>
      <c r="I23" s="218" t="n">
        <f aca="false">IFERROR(IF(ROUND(C23,0)&lt;0,
(ROUND(G23,0)-ROUND(C23,0))/ABS(ROUND(C23,0)),
(ROUND(G23,0)-ROUND(C23,0))/ROUND(C23,0)),
"-")</f>
        <v>-0.121212121212121</v>
      </c>
      <c r="J23" s="218" t="str">
        <f aca="false">IFERROR(IF(AND(G23&lt;0,E23&lt;0),-(G23-E23)/E23,IF(AND(G23&lt;0,E23&gt;0),(G23-E23)/E23,IF(AND(G23&gt;0,E23&lt;0),-(G23-E23)/E23,IF(ISERROR(G23/E23),"-",(G23-E23)/E23)))),"-")</f>
        <v>-</v>
      </c>
      <c r="K23" s="217" t="n">
        <f aca="false">SUM(K19:K22)</f>
        <v>30.741359</v>
      </c>
      <c r="L23" s="218" t="n">
        <f aca="false">IFERROR(K23/K$11,"-")</f>
        <v>0.083411700642693</v>
      </c>
      <c r="M23" s="163" t="n">
        <f aca="false">SUM(M19:M22)</f>
        <v>24</v>
      </c>
      <c r="N23" s="164" t="n">
        <f aca="false">IFERROR(M23/M$11,"-")</f>
        <v>0.164383561643836</v>
      </c>
      <c r="O23" s="217" t="n">
        <f aca="false">SUM(O19:O22)</f>
        <v>301.760433</v>
      </c>
      <c r="P23" s="218" t="n">
        <f aca="false">IFERROR(O23/O$11,"-")</f>
        <v>0.10826116067515</v>
      </c>
      <c r="Q23" s="217" t="n">
        <f aca="false">SUM(Q19:Q22)</f>
        <v>0</v>
      </c>
      <c r="R23" s="218" t="str">
        <f aca="false">IFERROR(Q23/Q$11,"-")</f>
        <v>-</v>
      </c>
      <c r="S23" s="163" t="n">
        <f aca="false">SUM(S19:S22)</f>
        <v>211.146743</v>
      </c>
      <c r="T23" s="164" t="n">
        <f aca="false">IFERROR(S23/S$11,"-")</f>
        <v>0.0955730992330138</v>
      </c>
      <c r="U23" s="218" t="n">
        <f aca="false">IF(O23&lt;0,(S23-O23)/ABS(O23),(S23-O23)/O23)</f>
        <v>-0.300283536509904</v>
      </c>
      <c r="V23" s="218" t="str">
        <f aca="false">IFERROR(IF(AND(S23&lt;0,Q23&lt;0),-(S23-Q23)/Q23,IF(AND(S23&lt;0,Q23&gt;0),(S23-Q23)/Q23,IF(AND(S23&gt;0,Q23&lt;0),-(S23-Q23)/Q23,IF(ISERROR(S23/Q23),"-",(S23-Q23)/Q23)))),"-")</f>
        <v>-</v>
      </c>
      <c r="Y23" s="125" t="n">
        <f aca="false">(G23)/(C23)-1</f>
        <v>-0.133369805393366</v>
      </c>
      <c r="Z23" s="125" t="n">
        <f aca="false">(S23)/(O23)-1</f>
        <v>-0.300283536509904</v>
      </c>
    </row>
    <row r="24" customFormat="false" ht="24.75" hidden="false" customHeight="true" outlineLevel="0" collapsed="false">
      <c r="B24" s="206" t="s">
        <v>261</v>
      </c>
      <c r="C24" s="207" t="n">
        <f aca="false">C18-C23</f>
        <v>-20.554104</v>
      </c>
      <c r="D24" s="208" t="n">
        <f aca="false">IFERROR(C24/C$11,"-")</f>
        <v>-0.0550338964407182</v>
      </c>
      <c r="E24" s="207" t="n">
        <f aca="false">E18-E23</f>
        <v>0</v>
      </c>
      <c r="F24" s="208" t="str">
        <f aca="false">IFERROR(E24/E$11,"-")</f>
        <v>-</v>
      </c>
      <c r="G24" s="207" t="n">
        <f aca="false">G18-G23</f>
        <v>4.73566799999999</v>
      </c>
      <c r="H24" s="208" t="n">
        <f aca="false">IFERROR(G24/G$11,"-")</f>
        <v>0.0354203264533525</v>
      </c>
      <c r="I24" s="208" t="n">
        <f aca="false">IFERROR(IF(ROUND(C24,0)&lt;0,
(ROUND(G24,0)-ROUND(C24,0))/ABS(ROUND(C24,0)),
(ROUND(G24,0)-ROUND(C24,0))/ROUND(C24,0)),
"-")</f>
        <v>1.23809523809524</v>
      </c>
      <c r="J24" s="208" t="str">
        <f aca="false">IFERROR(IF(AND(G24&lt;0,E24&lt;0),-(G24-E24)/E24,IF(AND(G24&lt;0,E24&gt;0),(G24-E24)/E24,IF(AND(G24&gt;0,E24&lt;0),-(G24-E24)/E24,IF(ISERROR(G24/E24),"-",(G24-E24)/E24)))),"-")</f>
        <v>-</v>
      </c>
      <c r="K24" s="207" t="n">
        <f aca="false">K18-K23</f>
        <v>-21.0222930000001</v>
      </c>
      <c r="L24" s="208" t="n">
        <f aca="false">IFERROR(K24/K$11,"-")</f>
        <v>-0.0570405885614551</v>
      </c>
      <c r="M24" s="207" t="n">
        <f aca="false">M18-M23</f>
        <v>-23</v>
      </c>
      <c r="N24" s="208" t="n">
        <f aca="false">IFERROR(M24/M$11,"-")</f>
        <v>-0.157534246575342</v>
      </c>
      <c r="O24" s="207" t="n">
        <f aca="false">O18-O23</f>
        <v>-240.400996999999</v>
      </c>
      <c r="P24" s="208" t="n">
        <f aca="false">IFERROR(O24/O$11,"-")</f>
        <v>-0.0862475265691415</v>
      </c>
      <c r="Q24" s="207" t="n">
        <f aca="false">Q18-Q23</f>
        <v>0</v>
      </c>
      <c r="R24" s="208" t="str">
        <f aca="false">IFERROR(Q24/Q$11,"-")</f>
        <v>-</v>
      </c>
      <c r="S24" s="207" t="n">
        <f aca="false">S18-S23</f>
        <v>70.6271360000001</v>
      </c>
      <c r="T24" s="208" t="n">
        <f aca="false">IFERROR(S24/S$11,"-")</f>
        <v>0.0319685455790884</v>
      </c>
      <c r="U24" s="219" t="n">
        <f aca="false">IF(O24&lt;0,(S24-O24)/ABS(O24),(S24-O24)/O24)</f>
        <v>1.29378886477746</v>
      </c>
      <c r="V24" s="208" t="str">
        <f aca="false">IFERROR(IF(AND(S24&lt;0,Q24&lt;0),-(S24-Q24)/Q24,IF(AND(S24&lt;0,Q24&gt;0),(S24-Q24)/Q24,IF(AND(S24&gt;0,Q24&lt;0),-(S24-Q24)/Q24,IF(ISERROR(S24/Q24),"-",(S24-Q24)/Q24)))),"-")</f>
        <v>-</v>
      </c>
      <c r="Y24" s="125" t="n">
        <f aca="false">(G24-C24)/-G24</f>
        <v>-5.34027554296459</v>
      </c>
      <c r="Z24" s="125" t="n">
        <f aca="false">(S24-O24)/-S24</f>
        <v>-4.40380497660275</v>
      </c>
      <c r="AC24" s="126" t="s">
        <v>262</v>
      </c>
    </row>
    <row r="25" customFormat="false" ht="24.75" hidden="false" customHeight="true" outlineLevel="0" collapsed="false">
      <c r="B25" s="116" t="s">
        <v>263</v>
      </c>
      <c r="C25" s="119" t="n">
        <f aca="false">'PL_25 우리'!P70/1000000</f>
        <v>8.708974</v>
      </c>
      <c r="D25" s="120" t="n">
        <f aca="false">IFERROR(C25/C$11,"-")</f>
        <v>0.0233183977866857</v>
      </c>
      <c r="E25" s="119"/>
      <c r="F25" s="120" t="str">
        <f aca="false">IFERROR(E25/E$11,"-")</f>
        <v>-</v>
      </c>
      <c r="G25" s="121" t="n">
        <f aca="false">('PL_26 우리'!P71)/1000000</f>
        <v>14.097792</v>
      </c>
      <c r="H25" s="122" t="n">
        <f aca="false">IFERROR(G25/G$11,"-")</f>
        <v>0.105444130566472</v>
      </c>
      <c r="I25" s="120" t="n">
        <f aca="false">IFERROR(IF(ROUND(C25,0)&lt;0,
(ROUND(G25,0)-ROUND(C25,0))/ABS(ROUND(C25,0)),
(ROUND(G25,0)-ROUND(C25,0))/ROUND(C25,0)),
"-")</f>
        <v>0.555555555555556</v>
      </c>
      <c r="J25" s="120" t="str">
        <f aca="false">IFERROR(IF(AND(G25&lt;0,E25&lt;0),-(G25-E25)/E25,IF(AND(G25&lt;0,E25&gt;0),(G25-E25)/E25,IF(AND(G25&gt;0,E25&lt;0),-(G25-E25)/E25,IF(ISERROR(G25/E25),"-",(G25-E25)/E25)))),"-")</f>
        <v>-</v>
      </c>
      <c r="K25" s="119" t="n">
        <f aca="false">'PL_25 우리'!Q70/1000000</f>
        <v>22.569653</v>
      </c>
      <c r="L25" s="120" t="n">
        <f aca="false">IFERROR(K25/K$11,"-")</f>
        <v>0.0612390994049891</v>
      </c>
      <c r="M25" s="119" t="n">
        <v>10</v>
      </c>
      <c r="N25" s="122" t="n">
        <f aca="false">IFERROR(M25/M$11,"-")</f>
        <v>0.0684931506849315</v>
      </c>
      <c r="O25" s="119" t="n">
        <f aca="false">'PL_25 우리'!R70/1000000</f>
        <v>165.499639</v>
      </c>
      <c r="P25" s="120" t="n">
        <f aca="false">IFERROR(O25/O$11,"-")</f>
        <v>0.0593755212747136</v>
      </c>
      <c r="Q25" s="119"/>
      <c r="R25" s="120" t="str">
        <f aca="false">IFERROR(Q25/Q$11,"-")</f>
        <v>-</v>
      </c>
      <c r="S25" s="121" t="n">
        <f aca="false">'PL_26 우리'!Q71/1000000</f>
        <v>124.461138</v>
      </c>
      <c r="T25" s="122" t="n">
        <f aca="false">IFERROR(S25/S$11,"-")</f>
        <v>0.0563358758166013</v>
      </c>
      <c r="U25" s="120" t="n">
        <f aca="false">IF(O25&lt;0,(S25-O25)/ABS(O25),(S25-O25)/O25)</f>
        <v>-0.247967314297284</v>
      </c>
      <c r="V25" s="120" t="str">
        <f aca="false">IFERROR(IF(AND(S25&lt;0,Q25&lt;0),-(S25-Q25)/Q25,IF(AND(S25&lt;0,Q25&gt;0),(S25-Q25)/Q25,IF(AND(S25&gt;0,Q25&lt;0),-(S25-Q25)/Q25,IF(ISERROR(S25/Q25),"-",(S25-Q25)/Q25)))),"-")</f>
        <v>-</v>
      </c>
      <c r="Y25" s="125" t="n">
        <f aca="false">(G25)/(C25)-1</f>
        <v>0.618766114125499</v>
      </c>
      <c r="Z25" s="125" t="n">
        <f aca="false">(S25)/(O25)-1</f>
        <v>-0.247967314297284</v>
      </c>
      <c r="AC25" s="189" t="s">
        <v>238</v>
      </c>
      <c r="AD25" s="190" t="s">
        <v>239</v>
      </c>
      <c r="AE25" s="191" t="s">
        <v>233</v>
      </c>
      <c r="AF25" s="192"/>
      <c r="AG25" s="192"/>
      <c r="AH25" s="193"/>
    </row>
    <row r="26" customFormat="false" ht="24.75" hidden="false" customHeight="true" outlineLevel="0" collapsed="false">
      <c r="B26" s="194" t="s">
        <v>264</v>
      </c>
      <c r="C26" s="214" t="n">
        <f aca="false">'PL_25 우리'!P76/1000000</f>
        <v>191.306154</v>
      </c>
      <c r="D26" s="215" t="n">
        <f aca="false">IFERROR(C26/C$11,"-")</f>
        <v>0.512224861161941</v>
      </c>
      <c r="E26" s="214"/>
      <c r="F26" s="215" t="str">
        <f aca="false">IFERROR(E26/E$11,"-")</f>
        <v>-</v>
      </c>
      <c r="G26" s="201" t="n">
        <f aca="false">('PL_26 우리'!P77)/1000000</f>
        <v>100.644841</v>
      </c>
      <c r="H26" s="198" t="n">
        <f aca="false">IFERROR(G26/G$11,"-")</f>
        <v>0.752770913008633</v>
      </c>
      <c r="I26" s="215" t="n">
        <f aca="false">IFERROR(IF(ROUND(C26,0)&lt;0,
(ROUND(G26,0)-ROUND(C26,0))/ABS(ROUND(C26,0)),
(ROUND(G26,0)-ROUND(C26,0))/ROUND(C26,0)),
"-")</f>
        <v>-0.471204188481675</v>
      </c>
      <c r="J26" s="215" t="str">
        <f aca="false">IFERROR(IF(AND(G26&lt;0,E26&lt;0),-(G26-E26)/E26,IF(AND(G26&lt;0,E26&gt;0),(G26-E26)/E26,IF(AND(G26&gt;0,E26&lt;0),-(G26-E26)/E26,IF(ISERROR(G26/E26),"-",(G26-E26)/E26)))),"-")</f>
        <v>-</v>
      </c>
      <c r="K26" s="214" t="n">
        <f aca="false">'PL_25 우리'!Q76/1000000</f>
        <v>197.923287</v>
      </c>
      <c r="L26" s="215" t="n">
        <f aca="false">IFERROR(K26/K$11,"-")</f>
        <v>0.537032795637363</v>
      </c>
      <c r="M26" s="214" t="n">
        <v>97</v>
      </c>
      <c r="N26" s="198" t="n">
        <f aca="false">IFERROR(M26/M$11,"-")</f>
        <v>0.664383561643836</v>
      </c>
      <c r="O26" s="214" t="n">
        <f aca="false">'PL_25 우리'!R76/1000000</f>
        <v>1327.813597</v>
      </c>
      <c r="P26" s="215" t="n">
        <f aca="false">IFERROR(O26/O$11,"-")</f>
        <v>0.476373392436992</v>
      </c>
      <c r="Q26" s="214"/>
      <c r="R26" s="215" t="str">
        <f aca="false">IFERROR(Q26/Q$11,"-")</f>
        <v>-</v>
      </c>
      <c r="S26" s="201" t="n">
        <f aca="false">'PL_26 우리'!Q77/1000000</f>
        <v>754.437158</v>
      </c>
      <c r="T26" s="198" t="n">
        <f aca="false">IFERROR(S26/S$11,"-")</f>
        <v>0.341487139901594</v>
      </c>
      <c r="U26" s="215" t="n">
        <f aca="false">IF(O26&lt;0,(S26-O26)/ABS(O26),(S26-O26)/O26)</f>
        <v>-0.431819978568874</v>
      </c>
      <c r="V26" s="215" t="str">
        <f aca="false">IFERROR(IF(AND(S26&lt;0,Q26&lt;0),-(S26-Q26)/Q26,IF(AND(S26&lt;0,Q26&gt;0),(S26-Q26)/Q26,IF(AND(S26&gt;0,Q26&lt;0),-(S26-Q26)/Q26,IF(ISERROR(S26/Q26),"-",(S26-Q26)/Q26)))),"-")</f>
        <v>-</v>
      </c>
      <c r="Y26" s="125" t="n">
        <f aca="false">(G26)/(C26)-1</f>
        <v>-0.473906934535938</v>
      </c>
      <c r="Z26" s="125" t="n">
        <f aca="false">(S26)/(O26)-1</f>
        <v>-0.431819978568874</v>
      </c>
      <c r="AC26" s="165" t="s">
        <v>245</v>
      </c>
      <c r="AD26" s="166" t="s">
        <v>245</v>
      </c>
      <c r="AE26" s="220" t="s">
        <v>265</v>
      </c>
      <c r="AH26" s="167"/>
    </row>
    <row r="27" customFormat="false" ht="24.75" hidden="false" customHeight="true" outlineLevel="0" collapsed="false">
      <c r="B27" s="206" t="s">
        <v>266</v>
      </c>
      <c r="C27" s="207" t="n">
        <f aca="false">C24+C25-C26</f>
        <v>-203.151284</v>
      </c>
      <c r="D27" s="208" t="n">
        <f aca="false">IFERROR(C27/C$11,"-")</f>
        <v>-0.543940359815974</v>
      </c>
      <c r="E27" s="207" t="n">
        <f aca="false">E24+E25-E26</f>
        <v>0</v>
      </c>
      <c r="F27" s="208" t="str">
        <f aca="false">IFERROR(E27/E$11,"-")</f>
        <v>-</v>
      </c>
      <c r="G27" s="207" t="n">
        <f aca="false">G24+G25-G26</f>
        <v>-81.811381</v>
      </c>
      <c r="H27" s="208" t="n">
        <f aca="false">IFERROR(G27/G$11,"-")</f>
        <v>-0.611906455988808</v>
      </c>
      <c r="I27" s="208" t="n">
        <f aca="false">IFERROR(IF(ROUND(C27,0)&lt;0,
(ROUND(G27,0)-ROUND(C27,0))/ABS(ROUND(C27,0)),
(ROUND(G27,0)-ROUND(C27,0))/ROUND(C27,0)),
"-")</f>
        <v>0.596059113300493</v>
      </c>
      <c r="J27" s="208" t="str">
        <f aca="false">IFERROR(IF(AND(G27&lt;0,E27&lt;0),-(G27-E27)/E27,IF(AND(G27&lt;0,E27&gt;0),(G27-E27)/E27,IF(AND(G27&gt;0,E27&lt;0),-(G27-E27)/E27,IF(ISERROR(G27/E27),"-",(G27-E27)/E27)))),"-")</f>
        <v>-</v>
      </c>
      <c r="K27" s="207" t="n">
        <f aca="false">K24+K25-K26</f>
        <v>-196.375927</v>
      </c>
      <c r="L27" s="208" t="n">
        <f aca="false">IFERROR(K27/K$11,"-")</f>
        <v>-0.532834284793829</v>
      </c>
      <c r="M27" s="207" t="n">
        <f aca="false">M24+M25-M26</f>
        <v>-110</v>
      </c>
      <c r="N27" s="208" t="n">
        <f aca="false">IFERROR(M27/M$11,"-")</f>
        <v>-0.753424657534247</v>
      </c>
      <c r="O27" s="207" t="n">
        <f aca="false">O24+O25-O26+0.2</f>
        <v>-1402.514955</v>
      </c>
      <c r="P27" s="208" t="n">
        <f aca="false">IFERROR(O27/O$11,"-")</f>
        <v>-0.503173644679107</v>
      </c>
      <c r="Q27" s="207" t="n">
        <f aca="false">Q24+Q25-Q26</f>
        <v>0</v>
      </c>
      <c r="R27" s="208" t="str">
        <f aca="false">IFERROR(Q27/Q$11,"-")</f>
        <v>-</v>
      </c>
      <c r="S27" s="207" t="n">
        <f aca="false">S24+S25-S26</f>
        <v>-559.348884</v>
      </c>
      <c r="T27" s="208" t="n">
        <f aca="false">IFERROR(S27/S$11,"-")</f>
        <v>-0.253182718505904</v>
      </c>
      <c r="U27" s="208" t="n">
        <f aca="false">IF(O27&lt;0,(S27-O27)/ABS(O27),(S27-O27)/O27)</f>
        <v>0.601181518952145</v>
      </c>
      <c r="V27" s="208" t="str">
        <f aca="false">IFERROR(IF(AND(S27&lt;0,Q27&lt;0),-(S27-Q27)/Q27,IF(AND(S27&lt;0,Q27&gt;0),(S27-Q27)/Q27,IF(AND(S27&gt;0,Q27&lt;0),-(S27-Q27)/Q27,IF(ISERROR(S27/Q27),"-",(S27-Q27)/Q27)))),"-")</f>
        <v>-</v>
      </c>
      <c r="Y27" s="125" t="n">
        <f aca="false">(G27-C27)/-G27</f>
        <v>1.48316654133977</v>
      </c>
      <c r="Z27" s="125" t="n">
        <f aca="false">(S27-O27)/-S27</f>
        <v>1.5074063703683</v>
      </c>
      <c r="AC27" s="165" t="s">
        <v>267</v>
      </c>
      <c r="AD27" s="166"/>
      <c r="AH27" s="167"/>
    </row>
    <row r="28" customFormat="false" ht="24.75" hidden="false" customHeight="true" outlineLevel="0" collapsed="false">
      <c r="B28" s="221"/>
      <c r="C28" s="222"/>
      <c r="D28" s="223"/>
      <c r="E28" s="222"/>
      <c r="F28" s="223"/>
      <c r="G28" s="222"/>
      <c r="H28" s="223"/>
      <c r="I28" s="223"/>
      <c r="J28" s="223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1"/>
      <c r="V28" s="225"/>
      <c r="AC28" s="165" t="s">
        <v>247</v>
      </c>
      <c r="AD28" s="166" t="s">
        <v>248</v>
      </c>
      <c r="AE28" s="172" t="s">
        <v>268</v>
      </c>
      <c r="AH28" s="167"/>
    </row>
    <row r="29" customFormat="false" ht="24.75" hidden="false" customHeight="true" outlineLevel="0" collapsed="false">
      <c r="A29" s="226"/>
      <c r="B29" s="227" t="s">
        <v>269</v>
      </c>
      <c r="C29" s="228"/>
      <c r="D29" s="228"/>
      <c r="E29" s="228"/>
      <c r="F29" s="228"/>
      <c r="G29" s="228"/>
      <c r="H29" s="228"/>
      <c r="I29" s="228"/>
      <c r="J29" s="228"/>
      <c r="K29" s="228"/>
      <c r="L29" s="229" t="s">
        <v>270</v>
      </c>
      <c r="M29" s="230"/>
      <c r="N29" s="230"/>
      <c r="O29" s="230"/>
      <c r="P29" s="230"/>
      <c r="Q29" s="230"/>
      <c r="R29" s="230"/>
      <c r="S29" s="230"/>
      <c r="T29" s="230"/>
      <c r="U29" s="231"/>
      <c r="V29" s="231"/>
      <c r="W29" s="226"/>
      <c r="X29" s="226"/>
      <c r="Y29" s="226"/>
      <c r="Z29" s="226"/>
      <c r="AA29" s="226"/>
      <c r="AB29" s="226"/>
      <c r="AC29" s="165" t="s">
        <v>259</v>
      </c>
      <c r="AD29" s="166" t="s">
        <v>249</v>
      </c>
      <c r="AE29" s="172" t="s">
        <v>271</v>
      </c>
      <c r="AH29" s="167"/>
    </row>
    <row r="30" customFormat="false" ht="24.75" hidden="false" customHeight="true" outlineLevel="0" collapsed="false">
      <c r="A30" s="232"/>
      <c r="B30" s="233" t="s">
        <v>272</v>
      </c>
      <c r="C30" s="234"/>
      <c r="D30" s="234"/>
      <c r="E30" s="234"/>
      <c r="F30" s="234"/>
      <c r="G30" s="234"/>
      <c r="H30" s="234"/>
      <c r="I30" s="234"/>
      <c r="J30" s="234"/>
      <c r="K30" s="235"/>
      <c r="L30" s="236" t="s">
        <v>272</v>
      </c>
      <c r="M30" s="237"/>
      <c r="N30" s="237"/>
      <c r="O30" s="238"/>
      <c r="P30" s="238"/>
      <c r="Q30" s="237"/>
      <c r="R30" s="237"/>
      <c r="S30" s="237"/>
      <c r="T30" s="237"/>
      <c r="U30" s="239"/>
      <c r="V30" s="239"/>
      <c r="W30" s="232"/>
      <c r="X30" s="226"/>
      <c r="Y30" s="226"/>
      <c r="Z30" s="232"/>
      <c r="AA30" s="232"/>
      <c r="AB30" s="232"/>
      <c r="AC30" s="240"/>
      <c r="AD30" s="241"/>
      <c r="AE30" s="242"/>
      <c r="AF30" s="242"/>
      <c r="AG30" s="242"/>
      <c r="AH30" s="243"/>
    </row>
    <row r="31" s="226" customFormat="true" ht="24.75" hidden="false" customHeight="true" outlineLevel="0" collapsed="false">
      <c r="A31" s="232"/>
      <c r="B31" s="244" t="s">
        <v>273</v>
      </c>
      <c r="C31" s="245"/>
      <c r="D31" s="245"/>
      <c r="E31" s="245"/>
      <c r="F31" s="245"/>
      <c r="G31" s="245"/>
      <c r="H31" s="245"/>
      <c r="I31" s="245"/>
      <c r="J31" s="245"/>
      <c r="K31" s="246"/>
      <c r="L31" s="244" t="s">
        <v>274</v>
      </c>
      <c r="M31" s="245"/>
      <c r="N31" s="245"/>
      <c r="O31" s="246"/>
      <c r="P31" s="247"/>
      <c r="Q31" s="245"/>
      <c r="R31" s="245"/>
      <c r="S31" s="245"/>
      <c r="T31" s="245"/>
      <c r="U31" s="248"/>
      <c r="V31" s="248"/>
      <c r="W31" s="232"/>
      <c r="X31" s="232"/>
      <c r="Z31" s="232"/>
      <c r="AA31" s="232"/>
      <c r="AB31" s="232"/>
      <c r="AC31" s="232"/>
      <c r="AD31" s="232"/>
      <c r="AE31" s="232"/>
      <c r="AF31" s="232"/>
      <c r="AG31" s="232"/>
      <c r="AH31" s="232"/>
    </row>
    <row r="32" s="232" customFormat="true" ht="13.5" hidden="false" customHeight="true" outlineLevel="0" collapsed="false">
      <c r="B32" s="244"/>
      <c r="C32" s="245"/>
      <c r="D32" s="245"/>
      <c r="E32" s="245"/>
      <c r="F32" s="245"/>
      <c r="G32" s="245"/>
      <c r="H32" s="245"/>
      <c r="I32" s="245"/>
      <c r="J32" s="245"/>
      <c r="K32" s="249"/>
      <c r="L32" s="244"/>
      <c r="M32" s="245"/>
      <c r="N32" s="245"/>
      <c r="O32" s="249"/>
      <c r="P32" s="250"/>
      <c r="Q32" s="245"/>
      <c r="R32" s="245"/>
      <c r="S32" s="245"/>
      <c r="T32" s="245"/>
      <c r="U32" s="248"/>
      <c r="V32" s="248"/>
    </row>
    <row r="33" s="232" customFormat="true" ht="24.75" hidden="false" customHeight="true" outlineLevel="0" collapsed="false">
      <c r="B33" s="233" t="s">
        <v>275</v>
      </c>
      <c r="C33" s="245"/>
      <c r="D33" s="245"/>
      <c r="E33" s="245"/>
      <c r="F33" s="245"/>
      <c r="G33" s="245"/>
      <c r="H33" s="245"/>
      <c r="I33" s="245"/>
      <c r="J33" s="245"/>
      <c r="K33" s="249"/>
      <c r="L33" s="233" t="s">
        <v>275</v>
      </c>
      <c r="M33" s="245"/>
      <c r="N33" s="245"/>
      <c r="O33" s="249"/>
      <c r="P33" s="249"/>
      <c r="Q33" s="245"/>
      <c r="R33" s="245"/>
      <c r="S33" s="245"/>
      <c r="T33" s="245"/>
      <c r="U33" s="248"/>
      <c r="V33" s="248"/>
    </row>
    <row r="34" s="232" customFormat="true" ht="21.75" hidden="false" customHeight="true" outlineLevel="0" collapsed="false">
      <c r="B34" s="244" t="s">
        <v>276</v>
      </c>
      <c r="C34" s="249"/>
      <c r="D34" s="249"/>
      <c r="E34" s="249"/>
      <c r="F34" s="245"/>
      <c r="G34" s="245"/>
      <c r="H34" s="245"/>
      <c r="I34" s="245"/>
      <c r="J34" s="245"/>
      <c r="K34" s="249"/>
      <c r="L34" s="251" t="s">
        <v>277</v>
      </c>
      <c r="M34" s="245"/>
      <c r="N34" s="245"/>
      <c r="O34" s="249"/>
      <c r="P34" s="249"/>
      <c r="Q34" s="245"/>
      <c r="R34" s="245"/>
      <c r="S34" s="245"/>
      <c r="T34" s="245"/>
      <c r="U34" s="248"/>
      <c r="V34" s="248"/>
    </row>
    <row r="35" s="232" customFormat="true" ht="21" hidden="false" customHeight="true" outlineLevel="0" collapsed="false">
      <c r="B35" s="244"/>
      <c r="C35" s="245"/>
      <c r="D35" s="245"/>
      <c r="E35" s="245"/>
      <c r="F35" s="245"/>
      <c r="G35" s="245"/>
      <c r="H35" s="245"/>
      <c r="I35" s="245"/>
      <c r="J35" s="245"/>
      <c r="K35" s="249"/>
      <c r="L35" s="252" t="s">
        <v>278</v>
      </c>
      <c r="M35" s="245"/>
      <c r="N35" s="245"/>
      <c r="O35" s="249"/>
      <c r="P35" s="250"/>
      <c r="Q35" s="245"/>
      <c r="R35" s="245"/>
      <c r="S35" s="245"/>
      <c r="T35" s="245"/>
      <c r="U35" s="248"/>
      <c r="V35" s="248"/>
    </row>
    <row r="36" s="232" customFormat="true" ht="21.75" hidden="true" customHeight="true" outlineLevel="0" collapsed="false">
      <c r="B36" s="233"/>
      <c r="C36" s="245"/>
      <c r="D36" s="245"/>
      <c r="E36" s="245"/>
      <c r="F36" s="245"/>
      <c r="G36" s="245"/>
      <c r="H36" s="245"/>
      <c r="I36" s="245"/>
      <c r="J36" s="245"/>
      <c r="K36" s="249"/>
      <c r="L36" s="251"/>
      <c r="M36" s="245"/>
      <c r="N36" s="245"/>
      <c r="O36" s="249"/>
      <c r="P36" s="250"/>
      <c r="Q36" s="245"/>
      <c r="R36" s="245"/>
      <c r="S36" s="245"/>
      <c r="T36" s="245"/>
      <c r="U36" s="248"/>
      <c r="V36" s="248"/>
    </row>
    <row r="37" s="232" customFormat="true" ht="21.75" hidden="true" customHeight="true" outlineLevel="0" collapsed="false">
      <c r="B37" s="244"/>
      <c r="C37" s="249"/>
      <c r="D37" s="249"/>
      <c r="E37" s="249"/>
      <c r="F37" s="245"/>
      <c r="G37" s="245"/>
      <c r="H37" s="245"/>
      <c r="I37" s="245"/>
      <c r="J37" s="245"/>
      <c r="K37" s="249"/>
      <c r="L37" s="251"/>
      <c r="M37" s="245"/>
      <c r="N37" s="245"/>
      <c r="O37" s="249"/>
      <c r="P37" s="249"/>
      <c r="Q37" s="245"/>
      <c r="R37" s="245"/>
      <c r="S37" s="245"/>
      <c r="T37" s="245"/>
      <c r="U37" s="248"/>
      <c r="V37" s="248"/>
    </row>
    <row r="38" s="232" customFormat="true" ht="21.75" hidden="true" customHeight="true" outlineLevel="0" collapsed="false">
      <c r="B38" s="244"/>
      <c r="C38" s="249"/>
      <c r="D38" s="249"/>
      <c r="E38" s="249"/>
      <c r="F38" s="245"/>
      <c r="G38" s="245"/>
      <c r="H38" s="245"/>
      <c r="I38" s="245"/>
      <c r="J38" s="245"/>
      <c r="K38" s="249"/>
      <c r="L38" s="244"/>
      <c r="M38" s="245"/>
      <c r="N38" s="245"/>
      <c r="O38" s="249"/>
      <c r="P38" s="249"/>
      <c r="Q38" s="245"/>
      <c r="R38" s="245"/>
      <c r="S38" s="245"/>
      <c r="T38" s="245"/>
      <c r="U38" s="248"/>
      <c r="V38" s="248"/>
    </row>
    <row r="39" s="232" customFormat="true" ht="24.75" hidden="true" customHeight="true" outlineLevel="0" collapsed="false">
      <c r="B39" s="244"/>
      <c r="C39" s="249"/>
      <c r="D39" s="249"/>
      <c r="E39" s="249"/>
      <c r="F39" s="245"/>
      <c r="G39" s="245"/>
      <c r="H39" s="245"/>
      <c r="I39" s="245"/>
      <c r="J39" s="245"/>
      <c r="K39" s="249"/>
      <c r="L39" s="244"/>
      <c r="M39" s="245"/>
      <c r="N39" s="245"/>
      <c r="O39" s="249"/>
      <c r="P39" s="249"/>
      <c r="Q39" s="245"/>
      <c r="R39" s="245"/>
      <c r="S39" s="245"/>
      <c r="T39" s="245"/>
      <c r="U39" s="248"/>
      <c r="V39" s="248"/>
    </row>
    <row r="40" s="232" customFormat="true" ht="24.75" hidden="true" customHeight="true" outlineLevel="0" collapsed="false">
      <c r="B40" s="244"/>
      <c r="C40" s="249"/>
      <c r="D40" s="249"/>
      <c r="E40" s="249"/>
      <c r="F40" s="245"/>
      <c r="G40" s="245"/>
      <c r="H40" s="245"/>
      <c r="I40" s="245"/>
      <c r="J40" s="245"/>
      <c r="K40" s="249"/>
      <c r="L40" s="244"/>
      <c r="M40" s="245"/>
      <c r="N40" s="245"/>
      <c r="O40" s="249"/>
      <c r="P40" s="249"/>
      <c r="Q40" s="245"/>
      <c r="R40" s="245"/>
      <c r="S40" s="245"/>
      <c r="T40" s="245"/>
      <c r="U40" s="248"/>
      <c r="V40" s="248"/>
    </row>
    <row r="41" s="232" customFormat="true" ht="24.75" hidden="false" customHeight="true" outlineLevel="0" collapsed="false">
      <c r="B41" s="253"/>
      <c r="C41" s="254"/>
      <c r="D41" s="254"/>
      <c r="E41" s="254"/>
      <c r="F41" s="254"/>
      <c r="G41" s="254"/>
      <c r="H41" s="254"/>
      <c r="I41" s="254"/>
      <c r="J41" s="254"/>
      <c r="K41" s="255"/>
      <c r="L41" s="256"/>
      <c r="M41" s="254"/>
      <c r="N41" s="254"/>
      <c r="O41" s="257"/>
      <c r="P41" s="257"/>
      <c r="Q41" s="254"/>
      <c r="R41" s="254"/>
      <c r="S41" s="254"/>
      <c r="T41" s="254"/>
      <c r="U41" s="258"/>
      <c r="V41" s="258"/>
    </row>
    <row r="42" s="232" customFormat="true" ht="24.75" hidden="false" customHeight="true" outlineLevel="0" collapsed="false">
      <c r="A42" s="98"/>
      <c r="C42" s="259"/>
      <c r="D42" s="259"/>
      <c r="E42" s="259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Q42" s="261"/>
      <c r="R42" s="259"/>
      <c r="S42" s="259"/>
      <c r="T42" s="259"/>
      <c r="U42" s="259"/>
      <c r="V42" s="259"/>
      <c r="W42" s="98"/>
      <c r="Z42" s="98"/>
      <c r="AA42" s="98"/>
      <c r="AB42" s="98"/>
    </row>
    <row r="43" s="232" customFormat="true" ht="24.75" hidden="false" customHeight="true" outlineLevel="0" collapsed="false">
      <c r="A43" s="98"/>
      <c r="B43" s="262"/>
      <c r="C43" s="259"/>
      <c r="D43" s="259"/>
      <c r="E43" s="259"/>
      <c r="F43" s="259"/>
      <c r="G43" s="259"/>
      <c r="H43" s="260"/>
      <c r="I43" s="259"/>
      <c r="J43" s="260"/>
      <c r="K43" s="259"/>
      <c r="L43" s="259"/>
      <c r="M43" s="259"/>
      <c r="N43" s="259"/>
      <c r="O43" s="259"/>
      <c r="P43" s="263"/>
      <c r="Q43" s="259"/>
      <c r="R43" s="259"/>
      <c r="S43" s="259"/>
      <c r="T43" s="259"/>
      <c r="U43" s="259"/>
      <c r="V43" s="259"/>
      <c r="W43" s="98"/>
      <c r="X43" s="6"/>
      <c r="Y43" s="6"/>
      <c r="Z43" s="6"/>
      <c r="AA43" s="98"/>
      <c r="AB43" s="98"/>
      <c r="AC43" s="98"/>
      <c r="AD43" s="98"/>
      <c r="AE43" s="98"/>
      <c r="AF43" s="98"/>
      <c r="AG43" s="98"/>
      <c r="AH43" s="98"/>
    </row>
    <row r="44" s="232" customFormat="true" ht="24.75" hidden="false" customHeight="true" outlineLevel="0" collapsed="false">
      <c r="A44" s="98"/>
      <c r="C44" s="259"/>
      <c r="D44" s="259"/>
      <c r="E44" s="259"/>
      <c r="F44" s="259"/>
      <c r="G44" s="259"/>
      <c r="H44" s="260"/>
      <c r="I44" s="259"/>
      <c r="J44" s="260"/>
      <c r="K44" s="259"/>
      <c r="L44" s="259"/>
      <c r="M44" s="259"/>
      <c r="N44" s="259"/>
      <c r="O44" s="259"/>
      <c r="P44" s="261"/>
      <c r="Q44" s="259"/>
      <c r="R44" s="259"/>
      <c r="S44" s="259"/>
      <c r="T44" s="259"/>
      <c r="U44" s="259"/>
      <c r="V44" s="259"/>
      <c r="W44" s="98"/>
      <c r="X44" s="6"/>
      <c r="Y44" s="6"/>
      <c r="Z44" s="6"/>
      <c r="AA44" s="98"/>
      <c r="AB44" s="98"/>
      <c r="AC44" s="98"/>
      <c r="AD44" s="98"/>
      <c r="AE44" s="98"/>
      <c r="AF44" s="98"/>
      <c r="AG44" s="98"/>
      <c r="AH44" s="98"/>
    </row>
    <row r="45" s="232" customFormat="true" ht="24.75" hidden="false" customHeight="true" outlineLevel="0" collapsed="false">
      <c r="A45" s="98"/>
      <c r="C45" s="259"/>
      <c r="D45" s="259"/>
      <c r="E45" s="259"/>
      <c r="F45" s="259"/>
      <c r="G45" s="259"/>
      <c r="H45" s="260"/>
      <c r="I45" s="259"/>
      <c r="J45" s="260"/>
      <c r="K45" s="259"/>
      <c r="L45" s="259"/>
      <c r="M45" s="259"/>
      <c r="N45" s="259"/>
      <c r="O45" s="259"/>
      <c r="P45" s="261"/>
      <c r="Q45" s="259"/>
      <c r="R45" s="259"/>
      <c r="S45" s="259"/>
      <c r="T45" s="259"/>
      <c r="U45" s="259"/>
      <c r="V45" s="259"/>
      <c r="W45" s="98"/>
      <c r="X45" s="6"/>
      <c r="Y45" s="6"/>
      <c r="Z45" s="6"/>
      <c r="AA45" s="98"/>
      <c r="AB45" s="98"/>
      <c r="AC45" s="98"/>
      <c r="AD45" s="98"/>
      <c r="AE45" s="98"/>
      <c r="AF45" s="98"/>
      <c r="AG45" s="98"/>
      <c r="AH45" s="98"/>
    </row>
    <row r="46" s="232" customFormat="true" ht="24.75" hidden="false" customHeight="true" outlineLevel="0" collapsed="false">
      <c r="A46" s="98"/>
      <c r="C46" s="259"/>
      <c r="D46" s="259"/>
      <c r="E46" s="259"/>
      <c r="F46" s="259"/>
      <c r="G46" s="259"/>
      <c r="H46" s="260"/>
      <c r="I46" s="259"/>
      <c r="J46" s="260"/>
      <c r="K46" s="259"/>
      <c r="L46" s="259"/>
      <c r="M46" s="259"/>
      <c r="N46" s="259"/>
      <c r="O46" s="259"/>
      <c r="P46" s="261"/>
      <c r="Q46" s="259"/>
      <c r="R46" s="259"/>
      <c r="S46" s="259"/>
      <c r="T46" s="259"/>
      <c r="U46" s="259"/>
      <c r="V46" s="259"/>
      <c r="W46" s="98"/>
      <c r="X46" s="6"/>
      <c r="Y46" s="6"/>
      <c r="Z46" s="6"/>
      <c r="AA46" s="98"/>
      <c r="AB46" s="98"/>
      <c r="AC46" s="98"/>
      <c r="AD46" s="98"/>
      <c r="AE46" s="98"/>
      <c r="AF46" s="98"/>
      <c r="AG46" s="98"/>
      <c r="AH46" s="98"/>
    </row>
    <row r="47" customFormat="false" ht="24.75" hidden="false" customHeight="true" outlineLevel="0" collapsed="false"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R47" s="264"/>
      <c r="S47" s="264"/>
      <c r="T47" s="264"/>
      <c r="U47" s="264"/>
      <c r="V47" s="264"/>
    </row>
    <row r="48" customFormat="false" ht="22.5" hidden="false" customHeight="true" outlineLevel="0" collapsed="false"/>
    <row r="49" customFormat="false" ht="9.75" hidden="false" customHeight="true" outlineLevel="0" collapsed="false"/>
    <row r="60" customFormat="false" ht="14.25" hidden="false" customHeight="true" outlineLevel="0" collapsed="false">
      <c r="B60" s="1"/>
    </row>
  </sheetData>
  <mergeCells count="29">
    <mergeCell ref="B4:B5"/>
    <mergeCell ref="C4:J4"/>
    <mergeCell ref="K4:N4"/>
    <mergeCell ref="O4:V4"/>
    <mergeCell ref="C5:D5"/>
    <mergeCell ref="E5:F5"/>
    <mergeCell ref="G5:H5"/>
    <mergeCell ref="K5:L5"/>
    <mergeCell ref="M5:N5"/>
    <mergeCell ref="O5:P5"/>
    <mergeCell ref="Q5:R5"/>
    <mergeCell ref="S5:T5"/>
    <mergeCell ref="E6:E7"/>
    <mergeCell ref="F6:F7"/>
    <mergeCell ref="I6:I10"/>
    <mergeCell ref="J6:J7"/>
    <mergeCell ref="Q6:Q7"/>
    <mergeCell ref="R6:R7"/>
    <mergeCell ref="U6:U10"/>
    <mergeCell ref="V6:V7"/>
    <mergeCell ref="E15:E16"/>
    <mergeCell ref="F15:F16"/>
    <mergeCell ref="I15:I16"/>
    <mergeCell ref="J15:J16"/>
    <mergeCell ref="P15:P16"/>
    <mergeCell ref="Q15:Q16"/>
    <mergeCell ref="R15:R16"/>
    <mergeCell ref="U15:U16"/>
    <mergeCell ref="V15:V16"/>
  </mergeCells>
  <conditionalFormatting sqref="H17:J27">
    <cfRule type="cellIs" priority="2" operator="lessThan" aboveAverage="0" equalAverage="0" bottom="0" percent="0" rank="0" text="" dxfId="0">
      <formula>0</formula>
    </cfRule>
  </conditionalFormatting>
  <conditionalFormatting sqref="D6 D8:D15 D17:D27 F6 F8:F15 F17:F27 H6:J6 H7:H10 H11:J15 H16 J8:J10 L6 L8:L15 L17:L27 N6:N27 P6 P8:P15 P17:P27 R6 R8:R15 R17:R27 T6:V6 T7:T10 T11:V15 T16 T17:V27 V8:V10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196527777777778" right="0.196527777777778" top="0.4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AB6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2" topLeftCell="A3" activePane="bottomLeft" state="frozen"/>
      <selection pane="topLeft" activeCell="A1" activeCellId="0" sqref="A1"/>
      <selection pane="bottomLeft" activeCell="G31" activeCellId="0" sqref="G31"/>
    </sheetView>
  </sheetViews>
  <sheetFormatPr defaultColWidth="9" defaultRowHeight="17.25" zeroHeight="false" outlineLevelRow="0" outlineLevelCol="0"/>
  <cols>
    <col collapsed="false" customWidth="true" hidden="false" outlineLevel="0" max="1" min="1" style="265" width="1.6"/>
    <col collapsed="false" customWidth="true" hidden="false" outlineLevel="0" max="2" min="2" style="265" width="18.1"/>
    <col collapsed="false" customWidth="true" hidden="false" outlineLevel="0" max="3" min="3" style="266" width="11.6"/>
    <col collapsed="false" customWidth="true" hidden="false" outlineLevel="0" max="4" min="4" style="267" width="10.6"/>
    <col collapsed="false" customWidth="true" hidden="false" outlineLevel="0" max="5" min="5" style="266" width="10.6"/>
    <col collapsed="false" customWidth="true" hidden="false" outlineLevel="0" max="6" min="6" style="267" width="10.6"/>
    <col collapsed="false" customWidth="true" hidden="false" outlineLevel="0" max="7" min="7" style="266" width="10.6"/>
    <col collapsed="false" customWidth="true" hidden="false" outlineLevel="0" max="10" min="8" style="267" width="10.6"/>
    <col collapsed="false" customWidth="true" hidden="false" outlineLevel="0" max="20" min="11" style="268" width="10.6"/>
    <col collapsed="false" customWidth="true" hidden="false" outlineLevel="0" max="22" min="21" style="265" width="10.6"/>
    <col collapsed="false" customWidth="true" hidden="false" outlineLevel="0" max="23" min="23" style="265" width="1.6"/>
    <col collapsed="false" customWidth="false" hidden="false" outlineLevel="0" max="16384" min="24" style="265" width="9"/>
  </cols>
  <sheetData>
    <row r="1" customFormat="false" ht="33" hidden="false" customHeight="true" outlineLevel="0" collapsed="false">
      <c r="B1" s="269" t="s">
        <v>279</v>
      </c>
      <c r="I1" s="270"/>
      <c r="J1" s="270"/>
      <c r="U1" s="270"/>
      <c r="V1" s="270"/>
    </row>
    <row r="2" s="274" customFormat="true" ht="6" hidden="false" customHeight="true" outlineLevel="0" collapsed="false">
      <c r="A2" s="271"/>
      <c r="B2" s="272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65"/>
      <c r="Y2" s="265"/>
      <c r="Z2" s="265"/>
      <c r="AA2" s="265"/>
      <c r="AB2" s="265"/>
    </row>
    <row r="3" s="275" customFormat="true" ht="24.75" hidden="false" customHeight="true" outlineLevel="0" collapsed="false">
      <c r="B3" s="276"/>
      <c r="C3" s="277"/>
      <c r="D3" s="278"/>
      <c r="E3" s="277"/>
      <c r="F3" s="278"/>
      <c r="G3" s="277"/>
      <c r="H3" s="278"/>
      <c r="I3" s="278"/>
      <c r="J3" s="278"/>
      <c r="K3" s="279"/>
      <c r="L3" s="279"/>
      <c r="M3" s="279"/>
      <c r="N3" s="279"/>
      <c r="O3" s="279"/>
      <c r="P3" s="279"/>
      <c r="Q3" s="279"/>
      <c r="R3" s="279"/>
      <c r="S3" s="279"/>
      <c r="T3" s="279"/>
      <c r="V3" s="280" t="s">
        <v>280</v>
      </c>
    </row>
    <row r="4" s="275" customFormat="true" ht="24.75" hidden="false" customHeight="true" outlineLevel="0" collapsed="false">
      <c r="B4" s="281" t="s">
        <v>222</v>
      </c>
      <c r="C4" s="281"/>
      <c r="D4" s="282" t="s">
        <v>281</v>
      </c>
      <c r="E4" s="282"/>
      <c r="F4" s="282"/>
      <c r="G4" s="282"/>
      <c r="H4" s="282" t="s">
        <v>282</v>
      </c>
      <c r="I4" s="282"/>
      <c r="J4" s="282"/>
      <c r="K4" s="282"/>
      <c r="L4" s="282"/>
      <c r="M4" s="282"/>
      <c r="N4" s="282"/>
      <c r="O4" s="282"/>
      <c r="P4" s="281" t="s">
        <v>283</v>
      </c>
      <c r="Q4" s="281"/>
      <c r="R4" s="281"/>
      <c r="S4" s="281"/>
      <c r="T4" s="281"/>
      <c r="U4" s="281"/>
      <c r="V4" s="281"/>
    </row>
    <row r="5" s="275" customFormat="true" ht="24.75" hidden="false" customHeight="true" outlineLevel="0" collapsed="false">
      <c r="B5" s="281"/>
      <c r="C5" s="281"/>
      <c r="D5" s="283" t="s">
        <v>284</v>
      </c>
      <c r="E5" s="283"/>
      <c r="F5" s="283"/>
      <c r="G5" s="283"/>
      <c r="H5" s="284" t="s">
        <v>285</v>
      </c>
      <c r="I5" s="284"/>
      <c r="J5" s="284"/>
      <c r="K5" s="284"/>
      <c r="L5" s="281" t="s">
        <v>286</v>
      </c>
      <c r="M5" s="281"/>
      <c r="N5" s="281"/>
      <c r="O5" s="281"/>
      <c r="P5" s="281"/>
      <c r="Q5" s="281"/>
      <c r="R5" s="281"/>
      <c r="S5" s="281"/>
      <c r="T5" s="281"/>
      <c r="U5" s="281"/>
      <c r="V5" s="281"/>
    </row>
    <row r="6" s="275" customFormat="true" ht="24.75" hidden="false" customHeight="true" outlineLevel="0" collapsed="false">
      <c r="B6" s="285" t="s">
        <v>287</v>
      </c>
      <c r="C6" s="285"/>
      <c r="D6" s="286" t="n">
        <f aca="false">BS_우리인터텍스!E4/1000000</f>
        <v>1792.860915</v>
      </c>
      <c r="E6" s="286"/>
      <c r="F6" s="287" t="n">
        <f aca="false">IFERROR(D6/D$8,"-")</f>
        <v>0.0725369575368293</v>
      </c>
      <c r="G6" s="287"/>
      <c r="H6" s="288" t="n">
        <f aca="false">BS_우리인터텍스!C4/1000000</f>
        <v>2657.446277</v>
      </c>
      <c r="I6" s="288"/>
      <c r="J6" s="289" t="n">
        <f aca="false">IFERROR(H6/H$8,"-")</f>
        <v>0.108481275145084</v>
      </c>
      <c r="K6" s="289"/>
      <c r="L6" s="286" t="n">
        <f aca="false">H6-D6</f>
        <v>864.585362</v>
      </c>
      <c r="M6" s="286"/>
      <c r="N6" s="287" t="n">
        <f aca="false">(H6)/(D6)-1</f>
        <v>0.482237832709962</v>
      </c>
      <c r="O6" s="287"/>
      <c r="P6" s="290"/>
      <c r="Q6" s="290"/>
      <c r="R6" s="290"/>
      <c r="S6" s="290"/>
      <c r="T6" s="290"/>
      <c r="U6" s="290"/>
      <c r="V6" s="290"/>
    </row>
    <row r="7" s="275" customFormat="true" ht="24.75" hidden="false" customHeight="true" outlineLevel="0" collapsed="false">
      <c r="B7" s="291" t="s">
        <v>288</v>
      </c>
      <c r="C7" s="291"/>
      <c r="D7" s="292" t="n">
        <f aca="false">BS_우리인터텍스!E24/1000000</f>
        <v>22923.655684</v>
      </c>
      <c r="E7" s="292"/>
      <c r="F7" s="293" t="n">
        <f aca="false">IFERROR(D7/D$8,"-")</f>
        <v>0.927463042463171</v>
      </c>
      <c r="G7" s="293"/>
      <c r="H7" s="294" t="n">
        <f aca="false">BS_우리인터텍스!C24/1000000</f>
        <v>21839.373782</v>
      </c>
      <c r="I7" s="294"/>
      <c r="J7" s="295" t="n">
        <f aca="false">IFERROR(H7/H$8,"-")</f>
        <v>0.891518724854916</v>
      </c>
      <c r="K7" s="295"/>
      <c r="L7" s="292" t="n">
        <f aca="false">H7-D7</f>
        <v>-1084.281902</v>
      </c>
      <c r="M7" s="292"/>
      <c r="N7" s="293" t="n">
        <f aca="false">(H7)/(D7)-1</f>
        <v>-0.0472996941215095</v>
      </c>
      <c r="O7" s="293"/>
      <c r="P7" s="296" t="s">
        <v>289</v>
      </c>
      <c r="Q7" s="296"/>
      <c r="R7" s="296"/>
      <c r="S7" s="296"/>
      <c r="T7" s="296"/>
      <c r="U7" s="296"/>
      <c r="V7" s="296"/>
    </row>
    <row r="8" s="275" customFormat="true" ht="24.75" hidden="false" customHeight="true" outlineLevel="0" collapsed="false">
      <c r="B8" s="297" t="s">
        <v>290</v>
      </c>
      <c r="C8" s="297"/>
      <c r="D8" s="298" t="n">
        <f aca="false">SUM(D6:E7)</f>
        <v>24716.516599</v>
      </c>
      <c r="E8" s="298"/>
      <c r="F8" s="299" t="n">
        <f aca="false">IFERROR(D8/D$8,"-")</f>
        <v>1</v>
      </c>
      <c r="G8" s="299"/>
      <c r="H8" s="298" t="n">
        <f aca="false">SUM(H6:I7)</f>
        <v>24496.820059</v>
      </c>
      <c r="I8" s="298"/>
      <c r="J8" s="299" t="n">
        <f aca="false">IFERROR(H8/H$8,"-")</f>
        <v>1</v>
      </c>
      <c r="K8" s="299"/>
      <c r="L8" s="298" t="n">
        <f aca="false">SUM(L6:M7)</f>
        <v>-219.696540000002</v>
      </c>
      <c r="M8" s="298"/>
      <c r="N8" s="299" t="n">
        <f aca="false">(H8)/(D8)-1</f>
        <v>-0.00888865302357744</v>
      </c>
      <c r="O8" s="299"/>
      <c r="P8" s="300"/>
      <c r="Q8" s="300"/>
      <c r="R8" s="300"/>
      <c r="S8" s="300"/>
      <c r="T8" s="300"/>
      <c r="U8" s="300"/>
      <c r="V8" s="300"/>
    </row>
    <row r="9" s="275" customFormat="true" ht="24.75" hidden="false" customHeight="true" outlineLevel="0" collapsed="false">
      <c r="B9" s="285" t="s">
        <v>291</v>
      </c>
      <c r="C9" s="285"/>
      <c r="D9" s="286" t="n">
        <f aca="false">BS_우리인터텍스!E48/1000000</f>
        <v>24091.03322</v>
      </c>
      <c r="E9" s="286"/>
      <c r="F9" s="287" t="n">
        <f aca="false">IFERROR(D9/D$8,"-")</f>
        <v>0.974693708294424</v>
      </c>
      <c r="G9" s="287"/>
      <c r="H9" s="288" t="n">
        <f aca="false">BS_우리인터텍스!C48/1000000</f>
        <v>24430.685564</v>
      </c>
      <c r="I9" s="288"/>
      <c r="J9" s="289" t="n">
        <f aca="false">IFERROR(H9/H$8,"-")</f>
        <v>0.997300282451326</v>
      </c>
      <c r="K9" s="289"/>
      <c r="L9" s="286" t="n">
        <f aca="false">H9-D9</f>
        <v>339.652343999998</v>
      </c>
      <c r="M9" s="286"/>
      <c r="N9" s="287" t="n">
        <f aca="false">(H9)/(D9)-1</f>
        <v>0.0140987038994254</v>
      </c>
      <c r="O9" s="287"/>
      <c r="P9" s="290"/>
      <c r="Q9" s="290"/>
      <c r="R9" s="290"/>
      <c r="S9" s="290"/>
      <c r="T9" s="290"/>
      <c r="U9" s="290"/>
      <c r="V9" s="290"/>
    </row>
    <row r="10" s="275" customFormat="true" ht="24.75" hidden="false" customHeight="true" outlineLevel="0" collapsed="false">
      <c r="B10" s="291" t="s">
        <v>292</v>
      </c>
      <c r="C10" s="291"/>
      <c r="D10" s="292" t="n">
        <f aca="false">BS_우리인터텍스!E59/1000000</f>
        <v>0</v>
      </c>
      <c r="E10" s="292"/>
      <c r="F10" s="293" t="n">
        <f aca="false">IFERROR(D10/D$8,"-")</f>
        <v>0</v>
      </c>
      <c r="G10" s="293"/>
      <c r="H10" s="294" t="n">
        <f aca="false">(BS_우리인터텍스!C59)/1000000</f>
        <v>0</v>
      </c>
      <c r="I10" s="294"/>
      <c r="J10" s="295" t="n">
        <f aca="false">IFERROR(H10/H$8,"-")</f>
        <v>0</v>
      </c>
      <c r="K10" s="295"/>
      <c r="L10" s="292" t="n">
        <f aca="false">H10-D10</f>
        <v>0</v>
      </c>
      <c r="M10" s="292"/>
      <c r="N10" s="293" t="str">
        <f aca="false">IFERROR(L10/D10,"-")</f>
        <v>-</v>
      </c>
      <c r="O10" s="293"/>
      <c r="P10" s="301"/>
      <c r="Q10" s="301"/>
      <c r="R10" s="301"/>
      <c r="S10" s="301"/>
      <c r="T10" s="301"/>
      <c r="U10" s="301"/>
      <c r="V10" s="301"/>
    </row>
    <row r="11" s="302" customFormat="true" ht="24.75" hidden="false" customHeight="true" outlineLevel="0" collapsed="false">
      <c r="B11" s="303" t="s">
        <v>293</v>
      </c>
      <c r="C11" s="303"/>
      <c r="D11" s="298" t="n">
        <f aca="false">(BS_우리인터텍스!E55+BS_우리인터텍스!E58+BS_우리인터텍스!E60)/1000000</f>
        <v>19894.576356</v>
      </c>
      <c r="E11" s="298"/>
      <c r="F11" s="299" t="n">
        <f aca="false">IFERROR(D11/D$8,"-")</f>
        <v>0.804910201496796</v>
      </c>
      <c r="G11" s="299"/>
      <c r="H11" s="298" t="n">
        <f aca="false">(BS_우리인터텍스!C55+BS_우리인터텍스!C60+BS_우리인터텍스!C58)/1000000</f>
        <v>20363.1808</v>
      </c>
      <c r="I11" s="298"/>
      <c r="J11" s="299" t="n">
        <f aca="false">IFERROR(H11/H$8,"-")</f>
        <v>0.831258128645096</v>
      </c>
      <c r="K11" s="299"/>
      <c r="L11" s="298" t="n">
        <f aca="false">H11-D11</f>
        <v>468.604443999997</v>
      </c>
      <c r="M11" s="298"/>
      <c r="N11" s="299" t="n">
        <f aca="false">(H11)/(D11)-1</f>
        <v>0.0235543816372179</v>
      </c>
      <c r="O11" s="299"/>
      <c r="P11" s="300"/>
      <c r="Q11" s="300"/>
      <c r="R11" s="300"/>
      <c r="S11" s="300"/>
      <c r="T11" s="300"/>
      <c r="U11" s="300"/>
      <c r="V11" s="300"/>
    </row>
    <row r="12" s="275" customFormat="true" ht="24.75" hidden="false" customHeight="true" outlineLevel="0" collapsed="false">
      <c r="B12" s="297" t="s">
        <v>294</v>
      </c>
      <c r="C12" s="297"/>
      <c r="D12" s="298" t="n">
        <f aca="false">SUM(D9:E10)</f>
        <v>24091.03322</v>
      </c>
      <c r="E12" s="298"/>
      <c r="F12" s="299" t="n">
        <f aca="false">IFERROR(D12/D$8,"-")</f>
        <v>0.974693708294424</v>
      </c>
      <c r="G12" s="299"/>
      <c r="H12" s="298" t="n">
        <f aca="false">SUM(H9:I10)</f>
        <v>24430.685564</v>
      </c>
      <c r="I12" s="298"/>
      <c r="J12" s="299" t="n">
        <f aca="false">IFERROR(H12/H$8,"-")</f>
        <v>0.997300282451326</v>
      </c>
      <c r="K12" s="299"/>
      <c r="L12" s="298" t="n">
        <f aca="false">SUM(L9:M10)</f>
        <v>339.652343999998</v>
      </c>
      <c r="M12" s="298"/>
      <c r="N12" s="299" t="n">
        <f aca="false">(H12)/(D12)-1</f>
        <v>0.0140987038994254</v>
      </c>
      <c r="O12" s="299"/>
      <c r="P12" s="304"/>
      <c r="Q12" s="304"/>
      <c r="R12" s="304"/>
      <c r="S12" s="304"/>
      <c r="T12" s="304"/>
      <c r="U12" s="304"/>
      <c r="V12" s="304"/>
    </row>
    <row r="13" s="275" customFormat="true" ht="24.75" hidden="false" customHeight="true" outlineLevel="0" collapsed="false">
      <c r="B13" s="285" t="s">
        <v>295</v>
      </c>
      <c r="C13" s="285"/>
      <c r="D13" s="286" t="n">
        <f aca="false">(BS_우리인터텍스!E63/1000000)</f>
        <v>17858.5</v>
      </c>
      <c r="E13" s="286"/>
      <c r="F13" s="287" t="n">
        <f aca="false">IFERROR(D13/D$8,"-")</f>
        <v>0.722533044997228</v>
      </c>
      <c r="G13" s="287"/>
      <c r="H13" s="288" t="n">
        <f aca="false">(BS_우리인터텍스!C63)/1000000</f>
        <v>17858.5</v>
      </c>
      <c r="I13" s="288"/>
      <c r="J13" s="289" t="n">
        <f aca="false">IFERROR(H13/H$8,"-")</f>
        <v>0.729012988501701</v>
      </c>
      <c r="K13" s="289"/>
      <c r="L13" s="286" t="n">
        <f aca="false">H13-D13</f>
        <v>0</v>
      </c>
      <c r="M13" s="286"/>
      <c r="N13" s="287" t="n">
        <f aca="false">(H13)/(D13)-1</f>
        <v>0</v>
      </c>
      <c r="O13" s="287"/>
      <c r="P13" s="305"/>
      <c r="Q13" s="305"/>
      <c r="R13" s="305"/>
      <c r="S13" s="305"/>
      <c r="T13" s="305"/>
      <c r="U13" s="305"/>
      <c r="V13" s="305"/>
    </row>
    <row r="14" s="275" customFormat="true" ht="24.75" hidden="false" customHeight="true" outlineLevel="0" collapsed="false">
      <c r="B14" s="306" t="s">
        <v>296</v>
      </c>
      <c r="C14" s="306"/>
      <c r="D14" s="307" t="n">
        <f aca="false">(BS_우리인터텍스!E66/1000000)</f>
        <v>3974.505593</v>
      </c>
      <c r="E14" s="307"/>
      <c r="F14" s="308" t="n">
        <f aca="false">IFERROR(D14/D$8,"-")</f>
        <v>0.160803630118364</v>
      </c>
      <c r="G14" s="308"/>
      <c r="H14" s="309" t="n">
        <f aca="false">(BS_우리인터텍스!C66)/1000000</f>
        <v>3974.505593</v>
      </c>
      <c r="I14" s="309"/>
      <c r="J14" s="310" t="n">
        <f aca="false">IFERROR(H14/H$8,"-")</f>
        <v>0.162245776530484</v>
      </c>
      <c r="K14" s="310"/>
      <c r="L14" s="307" t="n">
        <f aca="false">H14-D14</f>
        <v>0</v>
      </c>
      <c r="M14" s="307"/>
      <c r="N14" s="308" t="n">
        <f aca="false">(H14)/(D14)-1</f>
        <v>0</v>
      </c>
      <c r="O14" s="308"/>
      <c r="P14" s="311"/>
      <c r="Q14" s="311"/>
      <c r="R14" s="311"/>
      <c r="S14" s="311"/>
      <c r="T14" s="311"/>
      <c r="U14" s="311"/>
      <c r="V14" s="311"/>
    </row>
    <row r="15" s="275" customFormat="true" ht="24.75" hidden="false" customHeight="true" outlineLevel="0" collapsed="false">
      <c r="B15" s="306" t="s">
        <v>297</v>
      </c>
      <c r="C15" s="306"/>
      <c r="D15" s="307" t="n">
        <f aca="false">(BS_우리인터텍스!E67/1000000)</f>
        <v>-94.14824</v>
      </c>
      <c r="E15" s="307"/>
      <c r="F15" s="308" t="n">
        <f aca="false">IFERROR(D15/D$8,"-")</f>
        <v>-0.00380912252027493</v>
      </c>
      <c r="G15" s="308"/>
      <c r="H15" s="309" t="n">
        <f aca="false">(BS_우리인터텍스!C67)/1000000</f>
        <v>-94.14824</v>
      </c>
      <c r="I15" s="309"/>
      <c r="J15" s="310" t="n">
        <f aca="false">IFERROR(H15/H$8,"-")</f>
        <v>-0.00384328413946162</v>
      </c>
      <c r="K15" s="310"/>
      <c r="L15" s="307" t="n">
        <f aca="false">H15-D15</f>
        <v>0</v>
      </c>
      <c r="M15" s="307"/>
      <c r="N15" s="308" t="n">
        <f aca="false">(H15)/(D15)-1</f>
        <v>0</v>
      </c>
      <c r="O15" s="308"/>
      <c r="P15" s="312" t="s">
        <v>298</v>
      </c>
      <c r="Q15" s="312"/>
      <c r="R15" s="312"/>
      <c r="S15" s="312"/>
      <c r="T15" s="312"/>
      <c r="U15" s="312"/>
      <c r="V15" s="312"/>
    </row>
    <row r="16" s="275" customFormat="true" ht="24.75" hidden="false" customHeight="true" outlineLevel="0" collapsed="false">
      <c r="B16" s="306" t="s">
        <v>299</v>
      </c>
      <c r="C16" s="306"/>
      <c r="D16" s="307" t="n">
        <f aca="false">(BS_우리인터텍스!E69/1000000)</f>
        <v>89.642512</v>
      </c>
      <c r="E16" s="307"/>
      <c r="F16" s="308" t="n">
        <f aca="false">IFERROR(D16/D$8,"-")</f>
        <v>0.00362682628196996</v>
      </c>
      <c r="G16" s="308"/>
      <c r="H16" s="309" t="n">
        <f aca="false">(BS_우리인터텍스!C69)/1000000</f>
        <v>89.642512</v>
      </c>
      <c r="I16" s="309"/>
      <c r="J16" s="310" t="n">
        <f aca="false">IFERROR(H16/H$8,"-")</f>
        <v>0.00365935300108741</v>
      </c>
      <c r="K16" s="310"/>
      <c r="L16" s="307" t="n">
        <f aca="false">H16-D16</f>
        <v>0</v>
      </c>
      <c r="M16" s="307"/>
      <c r="N16" s="308" t="n">
        <f aca="false">(H16)/(D16)-1</f>
        <v>0</v>
      </c>
      <c r="O16" s="308"/>
      <c r="P16" s="311"/>
      <c r="Q16" s="311"/>
      <c r="R16" s="311"/>
      <c r="S16" s="311"/>
      <c r="T16" s="311"/>
      <c r="U16" s="311"/>
      <c r="V16" s="311"/>
    </row>
    <row r="17" s="275" customFormat="true" ht="24.75" hidden="false" customHeight="true" outlineLevel="0" collapsed="false">
      <c r="B17" s="291" t="s">
        <v>300</v>
      </c>
      <c r="C17" s="291"/>
      <c r="D17" s="292" t="n">
        <f aca="false">-BS_우리인터텍스!E71/1000000</f>
        <v>-21203.016486</v>
      </c>
      <c r="E17" s="292"/>
      <c r="F17" s="293" t="n">
        <f aca="false">IFERROR(D17/D$8,"-")</f>
        <v>-0.857848087171711</v>
      </c>
      <c r="G17" s="293"/>
      <c r="H17" s="294" t="n">
        <f aca="false">-BS_우리인터텍스!C71/1000000</f>
        <v>-21762.36537</v>
      </c>
      <c r="I17" s="294"/>
      <c r="J17" s="295" t="n">
        <f aca="false">IFERROR(H17/H$8,"-")</f>
        <v>-0.888375116345137</v>
      </c>
      <c r="K17" s="295"/>
      <c r="L17" s="292" t="n">
        <f aca="false">H17-D17</f>
        <v>-559.348883999999</v>
      </c>
      <c r="M17" s="292"/>
      <c r="N17" s="293" t="n">
        <f aca="false">IF(D17&lt;0,(H17-D17)/ABS(D17),(H17-D17)/D17)</f>
        <v>-0.0263806276983904</v>
      </c>
      <c r="O17" s="293"/>
      <c r="P17" s="296" t="s">
        <v>301</v>
      </c>
      <c r="Q17" s="296"/>
      <c r="R17" s="296"/>
      <c r="S17" s="296"/>
      <c r="T17" s="296"/>
      <c r="U17" s="296"/>
      <c r="V17" s="296"/>
    </row>
    <row r="18" s="275" customFormat="true" ht="24.75" hidden="false" customHeight="true" outlineLevel="0" collapsed="false">
      <c r="B18" s="297" t="s">
        <v>302</v>
      </c>
      <c r="C18" s="297"/>
      <c r="D18" s="298" t="n">
        <f aca="false">SUM(D13:D17)</f>
        <v>625.483379000001</v>
      </c>
      <c r="E18" s="298"/>
      <c r="F18" s="299" t="n">
        <f aca="false">IFERROR(D18/D$8,"-")</f>
        <v>0.0253062917055758</v>
      </c>
      <c r="G18" s="299"/>
      <c r="H18" s="298" t="n">
        <f aca="false">SUM(H13:H17)</f>
        <v>66.1344950000021</v>
      </c>
      <c r="I18" s="298"/>
      <c r="J18" s="299" t="n">
        <f aca="false">IFERROR(H18/H$8,"-")</f>
        <v>0.00269971754867443</v>
      </c>
      <c r="K18" s="299"/>
      <c r="L18" s="298" t="n">
        <f aca="false">SUM(L13:L17)</f>
        <v>-559.348883999999</v>
      </c>
      <c r="M18" s="298"/>
      <c r="N18" s="299" t="n">
        <f aca="false">(H18-D18)/D18</f>
        <v>-0.894266582901475</v>
      </c>
      <c r="O18" s="299"/>
      <c r="P18" s="313" t="s">
        <v>303</v>
      </c>
      <c r="Q18" s="313"/>
      <c r="R18" s="313"/>
      <c r="S18" s="313"/>
      <c r="T18" s="313"/>
      <c r="U18" s="313"/>
      <c r="V18" s="313"/>
    </row>
    <row r="19" s="275" customFormat="true" ht="24.75" hidden="false" customHeight="true" outlineLevel="0" collapsed="false">
      <c r="B19" s="314"/>
      <c r="C19" s="315"/>
      <c r="D19" s="314"/>
      <c r="E19" s="314"/>
      <c r="F19" s="314"/>
      <c r="G19" s="314"/>
      <c r="H19" s="314"/>
      <c r="I19" s="316"/>
      <c r="J19" s="317"/>
      <c r="K19" s="317"/>
      <c r="L19" s="279"/>
      <c r="M19" s="279"/>
      <c r="N19" s="279"/>
      <c r="O19" s="279"/>
      <c r="P19" s="279"/>
      <c r="Q19" s="279"/>
      <c r="R19" s="279"/>
      <c r="S19" s="279"/>
      <c r="T19" s="279"/>
    </row>
    <row r="20" s="275" customFormat="true" ht="24.75" hidden="false" customHeight="true" outlineLevel="0" collapsed="false">
      <c r="B20" s="318" t="s">
        <v>304</v>
      </c>
      <c r="C20" s="318"/>
      <c r="D20" s="319" t="n">
        <f aca="false">(D12-D18)/-D12</f>
        <v>-0.974036672761684</v>
      </c>
      <c r="E20" s="319"/>
      <c r="F20" s="319"/>
      <c r="G20" s="319"/>
      <c r="H20" s="319" t="n">
        <f aca="false">(H12-H18)/-H12</f>
        <v>-0.997292974246394</v>
      </c>
      <c r="I20" s="319"/>
      <c r="J20" s="319"/>
      <c r="K20" s="319"/>
      <c r="L20" s="319" t="n">
        <f aca="false">H20-D20</f>
        <v>-0.0232563014847098</v>
      </c>
      <c r="M20" s="319"/>
      <c r="N20" s="319"/>
      <c r="O20" s="319"/>
      <c r="P20" s="320"/>
      <c r="Q20" s="320"/>
      <c r="R20" s="320"/>
      <c r="S20" s="320"/>
      <c r="T20" s="320"/>
      <c r="U20" s="320"/>
      <c r="V20" s="320"/>
    </row>
    <row r="21" s="275" customFormat="true" ht="24.75" hidden="false" customHeight="true" outlineLevel="0" collapsed="false">
      <c r="B21" s="321" t="s">
        <v>305</v>
      </c>
      <c r="C21" s="321"/>
      <c r="D21" s="322" t="n">
        <f aca="false">D6/D9</f>
        <v>0.0744202583022298</v>
      </c>
      <c r="E21" s="322"/>
      <c r="F21" s="322"/>
      <c r="G21" s="322"/>
      <c r="H21" s="322" t="n">
        <f aca="false">H6/H9</f>
        <v>0.108774936750686</v>
      </c>
      <c r="I21" s="322"/>
      <c r="J21" s="322"/>
      <c r="K21" s="322"/>
      <c r="L21" s="322" t="n">
        <f aca="false">H21-D21</f>
        <v>0.0343546784484563</v>
      </c>
      <c r="M21" s="322"/>
      <c r="N21" s="322"/>
      <c r="O21" s="322"/>
      <c r="P21" s="323" t="s">
        <v>306</v>
      </c>
      <c r="Q21" s="323"/>
      <c r="R21" s="323"/>
      <c r="S21" s="323"/>
      <c r="T21" s="323"/>
      <c r="U21" s="323"/>
      <c r="V21" s="323"/>
    </row>
    <row r="22" s="275" customFormat="true" ht="24.75" hidden="false" customHeight="true" outlineLevel="0" collapsed="false">
      <c r="B22" s="318" t="s">
        <v>307</v>
      </c>
      <c r="C22" s="318"/>
      <c r="D22" s="319" t="n">
        <f aca="false">D11/D8</f>
        <v>0.804910201496796</v>
      </c>
      <c r="E22" s="319"/>
      <c r="F22" s="319"/>
      <c r="G22" s="319"/>
      <c r="H22" s="319" t="n">
        <f aca="false">H11/H8</f>
        <v>0.831258128645096</v>
      </c>
      <c r="I22" s="319"/>
      <c r="J22" s="319"/>
      <c r="K22" s="319"/>
      <c r="L22" s="319" t="n">
        <f aca="false">H22-D22</f>
        <v>0.0263479271483001</v>
      </c>
      <c r="M22" s="319"/>
      <c r="N22" s="319"/>
      <c r="O22" s="319"/>
      <c r="P22" s="324" t="s">
        <v>308</v>
      </c>
      <c r="Q22" s="324"/>
      <c r="R22" s="324"/>
      <c r="S22" s="324"/>
      <c r="T22" s="324"/>
      <c r="U22" s="324"/>
      <c r="V22" s="324"/>
    </row>
    <row r="23" s="275" customFormat="true" ht="24.75" hidden="true" customHeight="true" outlineLevel="0" collapsed="false">
      <c r="B23" s="321" t="s">
        <v>309</v>
      </c>
      <c r="C23" s="321"/>
      <c r="D23" s="322" t="n">
        <f aca="false">-IFERROR(D18/D8,"-")</f>
        <v>-0.0253062917055758</v>
      </c>
      <c r="E23" s="322"/>
      <c r="F23" s="322"/>
      <c r="G23" s="322"/>
      <c r="H23" s="322" t="n">
        <f aca="false">-IFERROR(H18/H8,"-")</f>
        <v>-0.00269971754867443</v>
      </c>
      <c r="I23" s="322"/>
      <c r="J23" s="322"/>
      <c r="K23" s="322"/>
      <c r="L23" s="322" t="n">
        <f aca="false">H23-D23</f>
        <v>0.0226065741569014</v>
      </c>
      <c r="M23" s="322"/>
      <c r="N23" s="322"/>
      <c r="O23" s="322"/>
      <c r="P23" s="323" t="s">
        <v>310</v>
      </c>
      <c r="Q23" s="323"/>
      <c r="R23" s="323"/>
      <c r="S23" s="323"/>
      <c r="T23" s="323"/>
      <c r="U23" s="323"/>
      <c r="V23" s="323"/>
    </row>
    <row r="24" s="275" customFormat="true" ht="24.75" hidden="false" customHeight="true" outlineLevel="0" collapsed="false">
      <c r="C24" s="277"/>
      <c r="D24" s="278"/>
      <c r="E24" s="277"/>
      <c r="F24" s="278"/>
      <c r="G24" s="277"/>
      <c r="H24" s="278"/>
      <c r="I24" s="278"/>
      <c r="J24" s="278"/>
      <c r="K24" s="279"/>
      <c r="L24" s="279"/>
      <c r="M24" s="279"/>
      <c r="N24" s="279"/>
      <c r="O24" s="279"/>
      <c r="P24" s="279"/>
      <c r="Q24" s="279"/>
      <c r="R24" s="279"/>
      <c r="S24" s="279"/>
      <c r="T24" s="279"/>
    </row>
    <row r="25" customFormat="false" ht="33" hidden="false" customHeight="true" outlineLevel="0" collapsed="false">
      <c r="B25" s="269" t="s">
        <v>311</v>
      </c>
      <c r="I25" s="270"/>
      <c r="J25" s="270"/>
      <c r="U25" s="270"/>
      <c r="V25" s="270"/>
    </row>
    <row r="26" s="274" customFormat="true" ht="6" hidden="false" customHeight="true" outlineLevel="0" collapsed="false">
      <c r="A26" s="325" t="n">
        <v>44846</v>
      </c>
      <c r="B26" s="272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65"/>
      <c r="Y26" s="265"/>
      <c r="Z26" s="265"/>
      <c r="AA26" s="265"/>
      <c r="AB26" s="265"/>
    </row>
    <row r="27" customFormat="false" ht="24.75" hidden="false" customHeight="true" outlineLevel="0" collapsed="false">
      <c r="B27" s="276"/>
      <c r="V27" s="280" t="s">
        <v>280</v>
      </c>
    </row>
    <row r="28" customFormat="false" ht="24.75" hidden="false" customHeight="true" outlineLevel="0" collapsed="false">
      <c r="B28" s="326" t="s">
        <v>312</v>
      </c>
      <c r="C28" s="326"/>
      <c r="D28" s="326"/>
      <c r="E28" s="327" t="s">
        <v>313</v>
      </c>
      <c r="F28" s="327"/>
      <c r="G28" s="327" t="s">
        <v>314</v>
      </c>
      <c r="H28" s="327"/>
      <c r="I28" s="327" t="s">
        <v>315</v>
      </c>
      <c r="J28" s="327"/>
      <c r="K28" s="328" t="s">
        <v>316</v>
      </c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</row>
    <row r="29" customFormat="false" ht="24.75" hidden="false" customHeight="true" outlineLevel="0" collapsed="false">
      <c r="B29" s="326"/>
      <c r="C29" s="326"/>
      <c r="D29" s="326"/>
      <c r="E29" s="329" t="s">
        <v>317</v>
      </c>
      <c r="F29" s="329"/>
      <c r="G29" s="329" t="s">
        <v>318</v>
      </c>
      <c r="H29" s="329"/>
      <c r="I29" s="329" t="s">
        <v>319</v>
      </c>
      <c r="J29" s="329"/>
      <c r="K29" s="330" t="s">
        <v>317</v>
      </c>
      <c r="L29" s="330"/>
      <c r="M29" s="330"/>
      <c r="N29" s="330"/>
      <c r="O29" s="330" t="s">
        <v>318</v>
      </c>
      <c r="P29" s="330"/>
      <c r="Q29" s="330"/>
      <c r="R29" s="330"/>
      <c r="S29" s="330" t="s">
        <v>319</v>
      </c>
      <c r="T29" s="330"/>
      <c r="U29" s="330"/>
      <c r="V29" s="330"/>
    </row>
    <row r="30" customFormat="false" ht="24.75" hidden="false" customHeight="true" outlineLevel="0" collapsed="false">
      <c r="B30" s="331" t="s">
        <v>320</v>
      </c>
      <c r="C30" s="331"/>
      <c r="D30" s="331"/>
      <c r="E30" s="332" t="n">
        <v>5</v>
      </c>
      <c r="F30" s="332"/>
      <c r="G30" s="332" t="n">
        <f aca="false">E47</f>
        <v>566</v>
      </c>
      <c r="H30" s="332"/>
      <c r="I30" s="332" t="n">
        <f aca="false">G47</f>
        <v>523.9</v>
      </c>
      <c r="J30" s="332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</row>
    <row r="31" s="334" customFormat="true" ht="26.25" hidden="false" customHeight="true" outlineLevel="0" collapsed="false">
      <c r="B31" s="335" t="s">
        <v>321</v>
      </c>
      <c r="C31" s="335"/>
      <c r="D31" s="335"/>
      <c r="E31" s="336" t="n">
        <v>365</v>
      </c>
      <c r="F31" s="336"/>
      <c r="G31" s="337" t="n">
        <v>396.7</v>
      </c>
      <c r="H31" s="337"/>
      <c r="I31" s="336" t="n">
        <v>255</v>
      </c>
      <c r="J31" s="336"/>
      <c r="K31" s="338"/>
      <c r="L31" s="338"/>
      <c r="M31" s="338"/>
      <c r="N31" s="338"/>
      <c r="O31" s="339"/>
      <c r="P31" s="339"/>
      <c r="Q31" s="339"/>
      <c r="R31" s="339"/>
      <c r="S31" s="338"/>
      <c r="T31" s="338"/>
      <c r="U31" s="338"/>
      <c r="V31" s="338"/>
    </row>
    <row r="32" s="334" customFormat="true" ht="24.75" hidden="false" customHeight="true" outlineLevel="0" collapsed="false">
      <c r="B32" s="340" t="s">
        <v>322</v>
      </c>
      <c r="C32" s="340"/>
      <c r="D32" s="340"/>
      <c r="E32" s="341"/>
      <c r="F32" s="341"/>
      <c r="G32" s="342"/>
      <c r="H32" s="342"/>
      <c r="I32" s="341"/>
      <c r="J32" s="341"/>
      <c r="K32" s="343"/>
      <c r="L32" s="343"/>
      <c r="M32" s="343"/>
      <c r="N32" s="343"/>
      <c r="O32" s="344"/>
      <c r="P32" s="344"/>
      <c r="Q32" s="344"/>
      <c r="R32" s="344"/>
      <c r="S32" s="345"/>
      <c r="T32" s="345"/>
      <c r="U32" s="345"/>
      <c r="V32" s="345"/>
    </row>
    <row r="33" s="334" customFormat="true" ht="24.75" hidden="false" customHeight="true" outlineLevel="0" collapsed="false">
      <c r="B33" s="346" t="s">
        <v>323</v>
      </c>
      <c r="C33" s="346"/>
      <c r="D33" s="346"/>
      <c r="E33" s="347" t="n">
        <v>4</v>
      </c>
      <c r="F33" s="347"/>
      <c r="G33" s="348" t="n">
        <v>1.8</v>
      </c>
      <c r="H33" s="348"/>
      <c r="I33" s="347"/>
      <c r="J33" s="347"/>
      <c r="K33" s="349"/>
      <c r="L33" s="349"/>
      <c r="M33" s="349"/>
      <c r="N33" s="349"/>
      <c r="O33" s="350"/>
      <c r="P33" s="350"/>
      <c r="Q33" s="350"/>
      <c r="R33" s="350"/>
      <c r="S33" s="349"/>
      <c r="T33" s="349"/>
      <c r="U33" s="349"/>
      <c r="V33" s="349"/>
    </row>
    <row r="34" s="334" customFormat="true" ht="24.75" hidden="false" customHeight="true" outlineLevel="0" collapsed="false">
      <c r="B34" s="351" t="s">
        <v>324</v>
      </c>
      <c r="C34" s="351"/>
      <c r="D34" s="351"/>
      <c r="E34" s="352" t="n">
        <f aca="false">SUM(E31:F33)</f>
        <v>369</v>
      </c>
      <c r="F34" s="352"/>
      <c r="G34" s="352" t="n">
        <f aca="false">SUM(G31:H33)</f>
        <v>398.5</v>
      </c>
      <c r="H34" s="352"/>
      <c r="I34" s="352" t="n">
        <f aca="false">SUM(I31:J33)</f>
        <v>255</v>
      </c>
      <c r="J34" s="352"/>
      <c r="K34" s="353"/>
      <c r="L34" s="353"/>
      <c r="M34" s="353"/>
      <c r="N34" s="353"/>
      <c r="O34" s="353"/>
      <c r="P34" s="353"/>
      <c r="Q34" s="353"/>
      <c r="R34" s="353"/>
      <c r="S34" s="354"/>
      <c r="T34" s="354"/>
      <c r="U34" s="354"/>
      <c r="V34" s="354"/>
    </row>
    <row r="35" s="334" customFormat="true" ht="24.75" hidden="false" customHeight="true" outlineLevel="0" collapsed="false">
      <c r="B35" s="335" t="s">
        <v>325</v>
      </c>
      <c r="C35" s="335"/>
      <c r="D35" s="335"/>
      <c r="E35" s="336"/>
      <c r="F35" s="336"/>
      <c r="G35" s="337" t="n">
        <v>403</v>
      </c>
      <c r="H35" s="337"/>
      <c r="I35" s="336" t="n">
        <v>362</v>
      </c>
      <c r="J35" s="336"/>
      <c r="K35" s="355"/>
      <c r="L35" s="355"/>
      <c r="M35" s="355"/>
      <c r="N35" s="355"/>
      <c r="O35" s="356"/>
      <c r="P35" s="356"/>
      <c r="Q35" s="356"/>
      <c r="R35" s="356"/>
      <c r="S35" s="355"/>
      <c r="T35" s="355"/>
      <c r="U35" s="355"/>
      <c r="V35" s="355"/>
    </row>
    <row r="36" s="334" customFormat="true" ht="24.75" hidden="false" customHeight="true" outlineLevel="0" collapsed="false">
      <c r="B36" s="340" t="s">
        <v>326</v>
      </c>
      <c r="C36" s="340"/>
      <c r="D36" s="340"/>
      <c r="E36" s="341" t="n">
        <v>48</v>
      </c>
      <c r="F36" s="341"/>
      <c r="G36" s="342" t="n">
        <v>24</v>
      </c>
      <c r="H36" s="342"/>
      <c r="I36" s="341" t="n">
        <v>23</v>
      </c>
      <c r="J36" s="341"/>
      <c r="K36" s="357" t="s">
        <v>327</v>
      </c>
      <c r="L36" s="357"/>
      <c r="M36" s="357"/>
      <c r="N36" s="357"/>
      <c r="O36" s="358"/>
      <c r="P36" s="358"/>
      <c r="Q36" s="358"/>
      <c r="R36" s="358"/>
      <c r="S36" s="343"/>
      <c r="T36" s="343"/>
      <c r="U36" s="343"/>
      <c r="V36" s="343"/>
    </row>
    <row r="37" s="334" customFormat="true" ht="24.75" hidden="false" customHeight="true" outlineLevel="0" collapsed="false">
      <c r="B37" s="346" t="s">
        <v>328</v>
      </c>
      <c r="C37" s="346"/>
      <c r="D37" s="346"/>
      <c r="E37" s="347" t="n">
        <v>37</v>
      </c>
      <c r="F37" s="347"/>
      <c r="G37" s="348" t="n">
        <v>13.6</v>
      </c>
      <c r="H37" s="348"/>
      <c r="I37" s="347" t="n">
        <v>51</v>
      </c>
      <c r="J37" s="347"/>
      <c r="K37" s="359" t="s">
        <v>329</v>
      </c>
      <c r="L37" s="359"/>
      <c r="M37" s="359"/>
      <c r="N37" s="359"/>
      <c r="O37" s="360" t="s">
        <v>329</v>
      </c>
      <c r="P37" s="360"/>
      <c r="Q37" s="360"/>
      <c r="R37" s="360"/>
      <c r="S37" s="361" t="s">
        <v>329</v>
      </c>
      <c r="T37" s="361"/>
      <c r="U37" s="361"/>
      <c r="V37" s="361"/>
    </row>
    <row r="38" s="334" customFormat="true" ht="24.75" hidden="false" customHeight="true" outlineLevel="0" collapsed="false">
      <c r="B38" s="351" t="s">
        <v>330</v>
      </c>
      <c r="C38" s="351"/>
      <c r="D38" s="351"/>
      <c r="E38" s="352" t="n">
        <f aca="false">SUM(E35:F37)</f>
        <v>85</v>
      </c>
      <c r="F38" s="352"/>
      <c r="G38" s="352" t="n">
        <f aca="false">SUM(G35:H37)</f>
        <v>440.6</v>
      </c>
      <c r="H38" s="352"/>
      <c r="I38" s="352" t="n">
        <f aca="false">SUM(I35:J37)</f>
        <v>436</v>
      </c>
      <c r="J38" s="352"/>
      <c r="K38" s="353"/>
      <c r="L38" s="353"/>
      <c r="M38" s="353"/>
      <c r="N38" s="353"/>
      <c r="O38" s="353"/>
      <c r="P38" s="353"/>
      <c r="Q38" s="353"/>
      <c r="R38" s="353"/>
      <c r="S38" s="354"/>
      <c r="T38" s="354"/>
      <c r="U38" s="354"/>
      <c r="V38" s="354"/>
    </row>
    <row r="39" customFormat="false" ht="24.75" hidden="false" customHeight="true" outlineLevel="0" collapsed="false">
      <c r="B39" s="331" t="s">
        <v>331</v>
      </c>
      <c r="C39" s="331"/>
      <c r="D39" s="331"/>
      <c r="E39" s="362" t="n">
        <f aca="false">E34-E38</f>
        <v>284</v>
      </c>
      <c r="F39" s="362"/>
      <c r="G39" s="362" t="n">
        <f aca="false">G34-G38</f>
        <v>-42.1</v>
      </c>
      <c r="H39" s="362"/>
      <c r="I39" s="362" t="n">
        <f aca="false">I34-I38</f>
        <v>-181</v>
      </c>
      <c r="J39" s="362"/>
      <c r="K39" s="363"/>
      <c r="L39" s="363"/>
      <c r="M39" s="363"/>
      <c r="N39" s="363"/>
      <c r="O39" s="363"/>
      <c r="P39" s="363"/>
      <c r="Q39" s="363"/>
      <c r="R39" s="363"/>
      <c r="S39" s="364"/>
      <c r="T39" s="364"/>
      <c r="U39" s="364"/>
      <c r="V39" s="364"/>
    </row>
    <row r="40" customFormat="false" ht="24.75" hidden="false" customHeight="true" outlineLevel="0" collapsed="false">
      <c r="B40" s="365" t="s">
        <v>332</v>
      </c>
      <c r="C40" s="365"/>
      <c r="D40" s="365"/>
      <c r="E40" s="366" t="n">
        <v>1200</v>
      </c>
      <c r="F40" s="366"/>
      <c r="G40" s="367"/>
      <c r="H40" s="367"/>
      <c r="I40" s="366"/>
      <c r="J40" s="366"/>
      <c r="K40" s="368" t="s">
        <v>333</v>
      </c>
      <c r="L40" s="368"/>
      <c r="M40" s="368"/>
      <c r="N40" s="368"/>
      <c r="O40" s="356"/>
      <c r="P40" s="356"/>
      <c r="Q40" s="356"/>
      <c r="R40" s="356"/>
      <c r="S40" s="369"/>
      <c r="T40" s="369"/>
      <c r="U40" s="369"/>
      <c r="V40" s="369"/>
    </row>
    <row r="41" customFormat="false" ht="24.75" hidden="false" customHeight="true" outlineLevel="0" collapsed="false">
      <c r="B41" s="370" t="s">
        <v>334</v>
      </c>
      <c r="C41" s="370"/>
      <c r="D41" s="370"/>
      <c r="E41" s="371"/>
      <c r="F41" s="371"/>
      <c r="G41" s="372"/>
      <c r="H41" s="372"/>
      <c r="I41" s="371"/>
      <c r="J41" s="371"/>
      <c r="K41" s="373"/>
      <c r="L41" s="373"/>
      <c r="M41" s="373"/>
      <c r="N41" s="373"/>
      <c r="O41" s="374"/>
      <c r="P41" s="374"/>
      <c r="Q41" s="374"/>
      <c r="R41" s="374"/>
      <c r="S41" s="361"/>
      <c r="T41" s="361"/>
      <c r="U41" s="361"/>
      <c r="V41" s="361"/>
    </row>
    <row r="42" customFormat="false" ht="24.75" hidden="false" customHeight="true" outlineLevel="0" collapsed="false">
      <c r="B42" s="331" t="s">
        <v>335</v>
      </c>
      <c r="C42" s="331"/>
      <c r="D42" s="331"/>
      <c r="E42" s="362" t="n">
        <f aca="false">E40-E41</f>
        <v>1200</v>
      </c>
      <c r="F42" s="362"/>
      <c r="G42" s="362" t="n">
        <f aca="false">G40-G41</f>
        <v>0</v>
      </c>
      <c r="H42" s="362"/>
      <c r="I42" s="362" t="n">
        <f aca="false">I40-I41</f>
        <v>0</v>
      </c>
      <c r="J42" s="362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4"/>
    </row>
    <row r="43" customFormat="false" ht="24.75" hidden="false" customHeight="true" outlineLevel="0" collapsed="false">
      <c r="B43" s="365" t="s">
        <v>336</v>
      </c>
      <c r="C43" s="365"/>
      <c r="D43" s="365"/>
      <c r="E43" s="366" t="n">
        <v>1457</v>
      </c>
      <c r="F43" s="366"/>
      <c r="G43" s="367"/>
      <c r="H43" s="367"/>
      <c r="I43" s="366"/>
      <c r="J43" s="366"/>
      <c r="K43" s="375" t="s">
        <v>337</v>
      </c>
      <c r="L43" s="375"/>
      <c r="M43" s="375"/>
      <c r="N43" s="375"/>
      <c r="O43" s="376"/>
      <c r="P43" s="376"/>
      <c r="Q43" s="376"/>
      <c r="R43" s="376"/>
      <c r="S43" s="375"/>
      <c r="T43" s="375"/>
      <c r="U43" s="375"/>
      <c r="V43" s="375"/>
    </row>
    <row r="44" customFormat="false" ht="24.75" hidden="false" customHeight="true" outlineLevel="0" collapsed="false">
      <c r="B44" s="370" t="s">
        <v>338</v>
      </c>
      <c r="C44" s="370"/>
      <c r="D44" s="370"/>
      <c r="E44" s="371" t="n">
        <v>2380</v>
      </c>
      <c r="F44" s="371"/>
      <c r="G44" s="372"/>
      <c r="H44" s="372"/>
      <c r="I44" s="371"/>
      <c r="J44" s="371"/>
      <c r="K44" s="361" t="s">
        <v>339</v>
      </c>
      <c r="L44" s="361"/>
      <c r="M44" s="361"/>
      <c r="N44" s="361"/>
      <c r="O44" s="374"/>
      <c r="P44" s="374"/>
      <c r="Q44" s="374"/>
      <c r="R44" s="374"/>
      <c r="S44" s="361"/>
      <c r="T44" s="361"/>
      <c r="U44" s="361"/>
      <c r="V44" s="361"/>
    </row>
    <row r="45" customFormat="false" ht="24.75" hidden="false" customHeight="true" outlineLevel="0" collapsed="false">
      <c r="B45" s="331" t="s">
        <v>340</v>
      </c>
      <c r="C45" s="331"/>
      <c r="D45" s="331"/>
      <c r="E45" s="362" t="n">
        <f aca="false">E43-E44</f>
        <v>-923</v>
      </c>
      <c r="F45" s="362"/>
      <c r="G45" s="362" t="n">
        <f aca="false">G43-G44</f>
        <v>0</v>
      </c>
      <c r="H45" s="362"/>
      <c r="I45" s="362" t="n">
        <f aca="false">I43-I44</f>
        <v>0</v>
      </c>
      <c r="J45" s="362"/>
      <c r="K45" s="364"/>
      <c r="L45" s="364"/>
      <c r="M45" s="364"/>
      <c r="N45" s="364"/>
      <c r="O45" s="364"/>
      <c r="P45" s="364"/>
      <c r="Q45" s="364"/>
      <c r="R45" s="364"/>
      <c r="S45" s="364"/>
      <c r="T45" s="364"/>
      <c r="U45" s="364"/>
      <c r="V45" s="364"/>
    </row>
    <row r="46" customFormat="false" ht="24.75" hidden="false" customHeight="true" outlineLevel="0" collapsed="false">
      <c r="B46" s="377" t="s">
        <v>341</v>
      </c>
      <c r="C46" s="377"/>
      <c r="D46" s="377"/>
      <c r="E46" s="378" t="n">
        <f aca="false">E39+E42+E45</f>
        <v>561</v>
      </c>
      <c r="F46" s="378"/>
      <c r="G46" s="379" t="n">
        <f aca="false">G39+G42+G45</f>
        <v>-42.1</v>
      </c>
      <c r="H46" s="379"/>
      <c r="I46" s="378" t="n">
        <f aca="false">I39+I42+I45</f>
        <v>-181</v>
      </c>
      <c r="J46" s="378"/>
      <c r="K46" s="380"/>
      <c r="L46" s="380"/>
      <c r="M46" s="380"/>
      <c r="N46" s="380"/>
      <c r="O46" s="381"/>
      <c r="P46" s="381"/>
      <c r="Q46" s="381"/>
      <c r="R46" s="381"/>
      <c r="S46" s="380"/>
      <c r="T46" s="380"/>
      <c r="U46" s="380"/>
      <c r="V46" s="380"/>
    </row>
    <row r="47" customFormat="false" ht="24.75" hidden="false" customHeight="true" outlineLevel="0" collapsed="false">
      <c r="B47" s="382" t="s">
        <v>342</v>
      </c>
      <c r="C47" s="382"/>
      <c r="D47" s="382"/>
      <c r="E47" s="332" t="n">
        <f aca="false">E30+E39+E42+E45</f>
        <v>566</v>
      </c>
      <c r="F47" s="332"/>
      <c r="G47" s="332" t="n">
        <f aca="false">G30+G39+G42+G45</f>
        <v>523.9</v>
      </c>
      <c r="H47" s="332"/>
      <c r="I47" s="332" t="n">
        <f aca="false">I30+I39+I42+I45</f>
        <v>342.9</v>
      </c>
      <c r="J47" s="332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</row>
    <row r="48" customFormat="false" ht="24.75" hidden="false" customHeight="true" outlineLevel="0" collapsed="false">
      <c r="B48" s="383" t="s">
        <v>343</v>
      </c>
      <c r="C48" s="383"/>
      <c r="D48" s="383"/>
      <c r="E48" s="378" t="n">
        <v>1500</v>
      </c>
      <c r="F48" s="378"/>
      <c r="G48" s="379" t="n">
        <v>1500</v>
      </c>
      <c r="H48" s="379"/>
      <c r="I48" s="378" t="n">
        <v>1500</v>
      </c>
      <c r="J48" s="378"/>
      <c r="K48" s="380"/>
      <c r="L48" s="380"/>
      <c r="M48" s="380"/>
      <c r="N48" s="380"/>
      <c r="O48" s="381"/>
      <c r="P48" s="381"/>
      <c r="Q48" s="381"/>
      <c r="R48" s="381"/>
      <c r="S48" s="380"/>
      <c r="T48" s="380"/>
      <c r="U48" s="380"/>
      <c r="V48" s="380"/>
    </row>
    <row r="49" customFormat="false" ht="24.75" hidden="false" customHeight="true" outlineLevel="0" collapsed="false">
      <c r="B49" s="384" t="s">
        <v>344</v>
      </c>
      <c r="C49" s="384"/>
      <c r="D49" s="384"/>
      <c r="E49" s="385" t="n">
        <f aca="false">1500</f>
        <v>1500</v>
      </c>
      <c r="F49" s="385"/>
      <c r="G49" s="385" t="n">
        <f aca="false">E49</f>
        <v>1500</v>
      </c>
      <c r="H49" s="385"/>
      <c r="I49" s="385" t="n">
        <f aca="false">G49-I43+I44</f>
        <v>1500</v>
      </c>
      <c r="J49" s="385"/>
      <c r="K49" s="386"/>
      <c r="L49" s="386"/>
      <c r="M49" s="386"/>
      <c r="N49" s="386"/>
      <c r="O49" s="386"/>
      <c r="P49" s="386"/>
      <c r="Q49" s="386"/>
      <c r="R49" s="386"/>
      <c r="S49" s="386"/>
      <c r="T49" s="386"/>
      <c r="U49" s="386"/>
      <c r="V49" s="386"/>
    </row>
    <row r="50" customFormat="false" ht="24.75" hidden="false" customHeight="true" outlineLevel="0" collapsed="false">
      <c r="B50" s="382" t="s">
        <v>345</v>
      </c>
      <c r="C50" s="382"/>
      <c r="D50" s="382"/>
      <c r="E50" s="332" t="n">
        <f aca="false">E47+E49</f>
        <v>2066</v>
      </c>
      <c r="F50" s="332"/>
      <c r="G50" s="332" t="n">
        <f aca="false">G47+G49</f>
        <v>2023.9</v>
      </c>
      <c r="H50" s="332"/>
      <c r="I50" s="332" t="n">
        <f aca="false">I47+I49</f>
        <v>1842.9</v>
      </c>
      <c r="J50" s="332"/>
      <c r="K50" s="333"/>
      <c r="L50" s="333"/>
      <c r="M50" s="333"/>
      <c r="N50" s="333"/>
      <c r="O50" s="333"/>
      <c r="P50" s="333"/>
      <c r="Q50" s="333"/>
      <c r="R50" s="333"/>
      <c r="S50" s="333"/>
      <c r="T50" s="333"/>
      <c r="U50" s="333"/>
      <c r="V50" s="333"/>
    </row>
    <row r="51" customFormat="false" ht="24.75" hidden="false" customHeight="true" outlineLevel="0" collapsed="false"/>
    <row r="52" customFormat="false" ht="24.75" hidden="false" customHeight="true" outlineLevel="0" collapsed="false"/>
    <row r="53" customFormat="false" ht="24.75" hidden="false" customHeight="true" outlineLevel="0" collapsed="false"/>
    <row r="54" customFormat="false" ht="24.75" hidden="false" customHeight="true" outlineLevel="0" collapsed="false"/>
    <row r="55" customFormat="false" ht="24.75" hidden="false" customHeight="true" outlineLevel="0" collapsed="false"/>
    <row r="56" customFormat="false" ht="24.75" hidden="false" customHeight="true" outlineLevel="0" collapsed="false"/>
    <row r="57" customFormat="false" ht="24.75" hidden="false" customHeight="true" outlineLevel="0" collapsed="false"/>
    <row r="58" customFormat="false" ht="24.75" hidden="false" customHeight="true" outlineLevel="0" collapsed="false"/>
    <row r="59" customFormat="false" ht="24.75" hidden="false" customHeight="true" outlineLevel="0" collapsed="false"/>
    <row r="60" customFormat="false" ht="24.75" hidden="false" customHeight="true" outlineLevel="0" collapsed="false"/>
    <row r="61" customFormat="false" ht="24.75" hidden="false" customHeight="true" outlineLevel="0" collapsed="false"/>
    <row r="62" customFormat="false" ht="24.75" hidden="false" customHeight="true" outlineLevel="0" collapsed="false"/>
    <row r="63" customFormat="false" ht="24.75" hidden="false" customHeight="true" outlineLevel="0" collapsed="false"/>
    <row r="64" customFormat="false" ht="24.75" hidden="false" customHeight="true" outlineLevel="0" collapsed="false"/>
    <row r="65" customFormat="false" ht="24.75" hidden="false" customHeight="true" outlineLevel="0" collapsed="false"/>
    <row r="66" customFormat="false" ht="24.75" hidden="false" customHeight="true" outlineLevel="0" collapsed="false"/>
  </sheetData>
  <mergeCells count="289">
    <mergeCell ref="B4:C5"/>
    <mergeCell ref="D4:G4"/>
    <mergeCell ref="H4:O4"/>
    <mergeCell ref="P4:V5"/>
    <mergeCell ref="D5:G5"/>
    <mergeCell ref="H5:K5"/>
    <mergeCell ref="L5:O5"/>
    <mergeCell ref="B6:C6"/>
    <mergeCell ref="D6:E6"/>
    <mergeCell ref="F6:G6"/>
    <mergeCell ref="H6:I6"/>
    <mergeCell ref="J6:K6"/>
    <mergeCell ref="L6:M6"/>
    <mergeCell ref="N6:O6"/>
    <mergeCell ref="P6:V6"/>
    <mergeCell ref="B7:C7"/>
    <mergeCell ref="D7:E7"/>
    <mergeCell ref="F7:G7"/>
    <mergeCell ref="H7:I7"/>
    <mergeCell ref="J7:K7"/>
    <mergeCell ref="L7:M7"/>
    <mergeCell ref="N7:O7"/>
    <mergeCell ref="P7:V7"/>
    <mergeCell ref="B8:C8"/>
    <mergeCell ref="D8:E8"/>
    <mergeCell ref="F8:G8"/>
    <mergeCell ref="H8:I8"/>
    <mergeCell ref="J8:K8"/>
    <mergeCell ref="L8:M8"/>
    <mergeCell ref="N8:O8"/>
    <mergeCell ref="P8:V8"/>
    <mergeCell ref="B9:C9"/>
    <mergeCell ref="D9:E9"/>
    <mergeCell ref="F9:G9"/>
    <mergeCell ref="H9:I9"/>
    <mergeCell ref="J9:K9"/>
    <mergeCell ref="L9:M9"/>
    <mergeCell ref="N9:O9"/>
    <mergeCell ref="P9:V9"/>
    <mergeCell ref="B10:C10"/>
    <mergeCell ref="D10:E10"/>
    <mergeCell ref="F10:G10"/>
    <mergeCell ref="H10:I10"/>
    <mergeCell ref="J10:K10"/>
    <mergeCell ref="L10:M10"/>
    <mergeCell ref="N10:O10"/>
    <mergeCell ref="P10:V10"/>
    <mergeCell ref="B11:C11"/>
    <mergeCell ref="D11:E11"/>
    <mergeCell ref="F11:G11"/>
    <mergeCell ref="H11:I11"/>
    <mergeCell ref="J11:K11"/>
    <mergeCell ref="L11:M11"/>
    <mergeCell ref="N11:O11"/>
    <mergeCell ref="P11:V11"/>
    <mergeCell ref="B12:C12"/>
    <mergeCell ref="D12:E12"/>
    <mergeCell ref="F12:G12"/>
    <mergeCell ref="H12:I12"/>
    <mergeCell ref="J12:K12"/>
    <mergeCell ref="L12:M12"/>
    <mergeCell ref="N12:O12"/>
    <mergeCell ref="P12:V12"/>
    <mergeCell ref="B13:C13"/>
    <mergeCell ref="D13:E13"/>
    <mergeCell ref="F13:G13"/>
    <mergeCell ref="H13:I13"/>
    <mergeCell ref="J13:K13"/>
    <mergeCell ref="L13:M13"/>
    <mergeCell ref="N13:O13"/>
    <mergeCell ref="P13:V13"/>
    <mergeCell ref="B14:C14"/>
    <mergeCell ref="D14:E14"/>
    <mergeCell ref="F14:G14"/>
    <mergeCell ref="H14:I14"/>
    <mergeCell ref="J14:K14"/>
    <mergeCell ref="L14:M14"/>
    <mergeCell ref="N14:O14"/>
    <mergeCell ref="P14:V14"/>
    <mergeCell ref="B15:C15"/>
    <mergeCell ref="D15:E15"/>
    <mergeCell ref="F15:G15"/>
    <mergeCell ref="H15:I15"/>
    <mergeCell ref="J15:K15"/>
    <mergeCell ref="L15:M15"/>
    <mergeCell ref="N15:O15"/>
    <mergeCell ref="P15:V15"/>
    <mergeCell ref="B16:C16"/>
    <mergeCell ref="D16:E16"/>
    <mergeCell ref="F16:G16"/>
    <mergeCell ref="H16:I16"/>
    <mergeCell ref="J16:K16"/>
    <mergeCell ref="L16:M16"/>
    <mergeCell ref="N16:O16"/>
    <mergeCell ref="P16:V16"/>
    <mergeCell ref="B17:C17"/>
    <mergeCell ref="D17:E17"/>
    <mergeCell ref="F17:G17"/>
    <mergeCell ref="H17:I17"/>
    <mergeCell ref="J17:K17"/>
    <mergeCell ref="L17:M17"/>
    <mergeCell ref="N17:O17"/>
    <mergeCell ref="P17:V17"/>
    <mergeCell ref="B18:C18"/>
    <mergeCell ref="D18:E18"/>
    <mergeCell ref="F18:G18"/>
    <mergeCell ref="H18:I18"/>
    <mergeCell ref="J18:K18"/>
    <mergeCell ref="L18:M18"/>
    <mergeCell ref="N18:O18"/>
    <mergeCell ref="P18:V18"/>
    <mergeCell ref="B20:C20"/>
    <mergeCell ref="D20:G20"/>
    <mergeCell ref="H20:K20"/>
    <mergeCell ref="L20:O20"/>
    <mergeCell ref="P20:V20"/>
    <mergeCell ref="B21:C21"/>
    <mergeCell ref="D21:G21"/>
    <mergeCell ref="H21:K21"/>
    <mergeCell ref="L21:O21"/>
    <mergeCell ref="P21:V21"/>
    <mergeCell ref="B22:C22"/>
    <mergeCell ref="D22:G22"/>
    <mergeCell ref="H22:K22"/>
    <mergeCell ref="L22:O22"/>
    <mergeCell ref="P22:V22"/>
    <mergeCell ref="B23:C23"/>
    <mergeCell ref="D23:G23"/>
    <mergeCell ref="H23:K23"/>
    <mergeCell ref="L23:O23"/>
    <mergeCell ref="P23:V23"/>
    <mergeCell ref="B28:D29"/>
    <mergeCell ref="E28:F28"/>
    <mergeCell ref="G28:H28"/>
    <mergeCell ref="I28:J28"/>
    <mergeCell ref="K28:V28"/>
    <mergeCell ref="E29:F29"/>
    <mergeCell ref="G29:H29"/>
    <mergeCell ref="I29:J29"/>
    <mergeCell ref="K29:N29"/>
    <mergeCell ref="O29:R29"/>
    <mergeCell ref="S29:V29"/>
    <mergeCell ref="B30:D30"/>
    <mergeCell ref="E30:F30"/>
    <mergeCell ref="G30:H30"/>
    <mergeCell ref="I30:J30"/>
    <mergeCell ref="K30:N30"/>
    <mergeCell ref="O30:R30"/>
    <mergeCell ref="S30:V30"/>
    <mergeCell ref="B31:D31"/>
    <mergeCell ref="E31:F31"/>
    <mergeCell ref="G31:H31"/>
    <mergeCell ref="I31:J31"/>
    <mergeCell ref="K31:N31"/>
    <mergeCell ref="O31:R31"/>
    <mergeCell ref="S31:V31"/>
    <mergeCell ref="B32:D32"/>
    <mergeCell ref="E32:F32"/>
    <mergeCell ref="G32:H32"/>
    <mergeCell ref="I32:J32"/>
    <mergeCell ref="K32:N32"/>
    <mergeCell ref="O32:R32"/>
    <mergeCell ref="S32:V32"/>
    <mergeCell ref="B33:D33"/>
    <mergeCell ref="E33:F33"/>
    <mergeCell ref="G33:H33"/>
    <mergeCell ref="I33:J33"/>
    <mergeCell ref="K33:N33"/>
    <mergeCell ref="O33:R33"/>
    <mergeCell ref="S33:V33"/>
    <mergeCell ref="B34:D34"/>
    <mergeCell ref="E34:F34"/>
    <mergeCell ref="G34:H34"/>
    <mergeCell ref="I34:J34"/>
    <mergeCell ref="K34:N34"/>
    <mergeCell ref="O34:R34"/>
    <mergeCell ref="S34:V34"/>
    <mergeCell ref="B35:D35"/>
    <mergeCell ref="E35:F35"/>
    <mergeCell ref="G35:H35"/>
    <mergeCell ref="I35:J35"/>
    <mergeCell ref="K35:N35"/>
    <mergeCell ref="O35:R35"/>
    <mergeCell ref="S35:V35"/>
    <mergeCell ref="B36:D36"/>
    <mergeCell ref="E36:F36"/>
    <mergeCell ref="G36:H36"/>
    <mergeCell ref="I36:J36"/>
    <mergeCell ref="K36:N36"/>
    <mergeCell ref="O36:R36"/>
    <mergeCell ref="S36:V36"/>
    <mergeCell ref="B37:D37"/>
    <mergeCell ref="E37:F37"/>
    <mergeCell ref="G37:H37"/>
    <mergeCell ref="I37:J37"/>
    <mergeCell ref="K37:N37"/>
    <mergeCell ref="O37:R37"/>
    <mergeCell ref="S37:V37"/>
    <mergeCell ref="B38:D38"/>
    <mergeCell ref="E38:F38"/>
    <mergeCell ref="G38:H38"/>
    <mergeCell ref="I38:J38"/>
    <mergeCell ref="K38:N38"/>
    <mergeCell ref="O38:R38"/>
    <mergeCell ref="S38:V38"/>
    <mergeCell ref="B39:D39"/>
    <mergeCell ref="E39:F39"/>
    <mergeCell ref="G39:H39"/>
    <mergeCell ref="I39:J39"/>
    <mergeCell ref="K39:N39"/>
    <mergeCell ref="O39:R39"/>
    <mergeCell ref="S39:V39"/>
    <mergeCell ref="B40:D40"/>
    <mergeCell ref="E40:F40"/>
    <mergeCell ref="G40:H40"/>
    <mergeCell ref="I40:J40"/>
    <mergeCell ref="K40:N40"/>
    <mergeCell ref="O40:R40"/>
    <mergeCell ref="S40:V40"/>
    <mergeCell ref="B41:D41"/>
    <mergeCell ref="E41:F41"/>
    <mergeCell ref="G41:H41"/>
    <mergeCell ref="I41:J41"/>
    <mergeCell ref="K41:N41"/>
    <mergeCell ref="O41:R41"/>
    <mergeCell ref="S41:V41"/>
    <mergeCell ref="B42:D42"/>
    <mergeCell ref="E42:F42"/>
    <mergeCell ref="G42:H42"/>
    <mergeCell ref="I42:J42"/>
    <mergeCell ref="K42:N42"/>
    <mergeCell ref="O42:R42"/>
    <mergeCell ref="S42:V42"/>
    <mergeCell ref="B43:D43"/>
    <mergeCell ref="E43:F43"/>
    <mergeCell ref="G43:H43"/>
    <mergeCell ref="I43:J43"/>
    <mergeCell ref="K43:N43"/>
    <mergeCell ref="O43:R43"/>
    <mergeCell ref="S43:V43"/>
    <mergeCell ref="B44:D44"/>
    <mergeCell ref="E44:F44"/>
    <mergeCell ref="G44:H44"/>
    <mergeCell ref="I44:J44"/>
    <mergeCell ref="K44:N44"/>
    <mergeCell ref="O44:R44"/>
    <mergeCell ref="S44:V44"/>
    <mergeCell ref="B45:D45"/>
    <mergeCell ref="E45:F45"/>
    <mergeCell ref="G45:H45"/>
    <mergeCell ref="I45:J45"/>
    <mergeCell ref="K45:N45"/>
    <mergeCell ref="O45:R45"/>
    <mergeCell ref="S45:V45"/>
    <mergeCell ref="B46:D46"/>
    <mergeCell ref="E46:F46"/>
    <mergeCell ref="G46:H46"/>
    <mergeCell ref="I46:J46"/>
    <mergeCell ref="K46:N46"/>
    <mergeCell ref="O46:R46"/>
    <mergeCell ref="S46:V46"/>
    <mergeCell ref="B47:D47"/>
    <mergeCell ref="E47:F47"/>
    <mergeCell ref="G47:H47"/>
    <mergeCell ref="I47:J47"/>
    <mergeCell ref="K47:N47"/>
    <mergeCell ref="O47:R47"/>
    <mergeCell ref="S47:V47"/>
    <mergeCell ref="B48:D48"/>
    <mergeCell ref="E48:F48"/>
    <mergeCell ref="G48:H48"/>
    <mergeCell ref="I48:J48"/>
    <mergeCell ref="K48:N48"/>
    <mergeCell ref="O48:R48"/>
    <mergeCell ref="S48:V48"/>
    <mergeCell ref="B49:D49"/>
    <mergeCell ref="E49:F49"/>
    <mergeCell ref="G49:H49"/>
    <mergeCell ref="I49:J49"/>
    <mergeCell ref="K49:N49"/>
    <mergeCell ref="O49:R49"/>
    <mergeCell ref="S49:V49"/>
    <mergeCell ref="B50:D50"/>
    <mergeCell ref="E50:F50"/>
    <mergeCell ref="G50:H50"/>
    <mergeCell ref="I50:J50"/>
    <mergeCell ref="K50:N50"/>
    <mergeCell ref="O50:R50"/>
    <mergeCell ref="S50:V50"/>
  </mergeCells>
  <conditionalFormatting sqref="D6:D18 F6:F18 H6:H18 J6:J18 L6:L18 N6:N18">
    <cfRule type="cellIs" priority="2" operator="lessThan" aboveAverage="0" equalAverage="0" bottom="0" percent="0" rank="0" text="" dxfId="0">
      <formula>0</formula>
    </cfRule>
  </conditionalFormatting>
  <conditionalFormatting sqref="B30 B39">
    <cfRule type="cellIs" priority="3" operator="lessThan" aboveAverage="0" equalAverage="0" bottom="0" percent="0" rank="0" text="" dxfId="0">
      <formula>0</formula>
    </cfRule>
  </conditionalFormatting>
  <conditionalFormatting sqref="B43:B47">
    <cfRule type="cellIs" priority="4" operator="lessThan" aboveAverage="0" equalAverage="0" bottom="0" percent="0" rank="0" text="" dxfId="0">
      <formula>0</formula>
    </cfRule>
  </conditionalFormatting>
  <conditionalFormatting sqref="C19:J19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0395833333333333" right="0.0395833333333333" top="0.472222222222222" bottom="0.039583333333333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AB4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R42" activeCellId="0" sqref="R42"/>
    </sheetView>
  </sheetViews>
  <sheetFormatPr defaultColWidth="9" defaultRowHeight="14.25" zeroHeight="false" outlineLevelRow="0" outlineLevelCol="0"/>
  <cols>
    <col collapsed="false" customWidth="true" hidden="false" outlineLevel="0" max="1" min="1" style="387" width="1.6"/>
    <col collapsed="false" customWidth="true" hidden="false" outlineLevel="0" max="2" min="2" style="387" width="18.1"/>
    <col collapsed="false" customWidth="true" hidden="false" outlineLevel="0" max="3" min="3" style="388" width="10.6"/>
    <col collapsed="false" customWidth="true" hidden="false" outlineLevel="0" max="4" min="4" style="389" width="10.6"/>
    <col collapsed="false" customWidth="true" hidden="false" outlineLevel="0" max="5" min="5" style="388" width="10.6"/>
    <col collapsed="false" customWidth="true" hidden="false" outlineLevel="0" max="6" min="6" style="389" width="10.6"/>
    <col collapsed="false" customWidth="true" hidden="false" outlineLevel="0" max="7" min="7" style="388" width="10.6"/>
    <col collapsed="false" customWidth="true" hidden="false" outlineLevel="0" max="10" min="8" style="389" width="10.6"/>
    <col collapsed="false" customWidth="true" hidden="false" outlineLevel="0" max="20" min="11" style="390" width="10.6"/>
    <col collapsed="false" customWidth="true" hidden="false" outlineLevel="0" max="22" min="21" style="387" width="10.6"/>
    <col collapsed="false" customWidth="true" hidden="false" outlineLevel="0" max="23" min="23" style="387" width="1.6"/>
    <col collapsed="false" customWidth="false" hidden="false" outlineLevel="0" max="16384" min="24" style="387" width="9"/>
  </cols>
  <sheetData>
    <row r="1" customFormat="false" ht="29.25" hidden="false" customHeight="true" outlineLevel="0" collapsed="false">
      <c r="B1" s="391" t="s">
        <v>346</v>
      </c>
      <c r="I1" s="392"/>
      <c r="J1" s="392"/>
      <c r="U1" s="392"/>
      <c r="V1" s="392"/>
    </row>
    <row r="2" s="396" customFormat="true" ht="6" hidden="false" customHeight="true" outlineLevel="0" collapsed="false">
      <c r="A2" s="393"/>
      <c r="B2" s="394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87"/>
      <c r="Y2" s="387"/>
      <c r="Z2" s="387"/>
      <c r="AA2" s="387"/>
      <c r="AB2" s="387"/>
    </row>
    <row r="3" s="397" customFormat="true" ht="24.75" hidden="false" customHeight="true" outlineLevel="0" collapsed="false">
      <c r="B3" s="398"/>
      <c r="C3" s="399"/>
      <c r="D3" s="400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1"/>
      <c r="Q3" s="401"/>
      <c r="R3" s="401"/>
      <c r="S3" s="401"/>
      <c r="T3" s="401"/>
      <c r="U3" s="401"/>
      <c r="V3" s="402" t="s">
        <v>347</v>
      </c>
    </row>
    <row r="4" s="397" customFormat="true" ht="24.75" hidden="false" customHeight="true" outlineLevel="0" collapsed="false">
      <c r="B4" s="403" t="s">
        <v>348</v>
      </c>
      <c r="C4" s="403"/>
      <c r="D4" s="404" t="s">
        <v>349</v>
      </c>
      <c r="E4" s="404"/>
      <c r="F4" s="404"/>
      <c r="G4" s="405" t="s">
        <v>350</v>
      </c>
      <c r="H4" s="405"/>
      <c r="I4" s="405"/>
      <c r="J4" s="405"/>
      <c r="K4" s="405"/>
      <c r="L4" s="405"/>
      <c r="M4" s="405"/>
      <c r="N4" s="405"/>
      <c r="O4" s="405"/>
      <c r="P4" s="405"/>
      <c r="Q4" s="406" t="s">
        <v>351</v>
      </c>
      <c r="R4" s="406"/>
      <c r="S4" s="406"/>
      <c r="T4" s="406"/>
      <c r="U4" s="406"/>
      <c r="V4" s="406"/>
    </row>
    <row r="5" s="397" customFormat="true" ht="24.75" hidden="false" customHeight="true" outlineLevel="0" collapsed="false">
      <c r="B5" s="403"/>
      <c r="C5" s="403"/>
      <c r="D5" s="407" t="s">
        <v>352</v>
      </c>
      <c r="E5" s="407"/>
      <c r="F5" s="407"/>
      <c r="G5" s="403" t="s">
        <v>227</v>
      </c>
      <c r="H5" s="403"/>
      <c r="I5" s="403"/>
      <c r="J5" s="408" t="s">
        <v>353</v>
      </c>
      <c r="K5" s="408"/>
      <c r="L5" s="408"/>
      <c r="M5" s="403" t="s">
        <v>354</v>
      </c>
      <c r="N5" s="403"/>
      <c r="O5" s="403" t="s">
        <v>355</v>
      </c>
      <c r="P5" s="403"/>
      <c r="Q5" s="406"/>
      <c r="R5" s="406"/>
      <c r="S5" s="406"/>
      <c r="T5" s="406"/>
      <c r="U5" s="406"/>
      <c r="V5" s="406"/>
    </row>
    <row r="6" s="397" customFormat="true" ht="24.75" hidden="false" customHeight="true" outlineLevel="0" collapsed="false">
      <c r="B6" s="409" t="s">
        <v>356</v>
      </c>
      <c r="C6" s="409"/>
      <c r="D6" s="410" t="n">
        <v>1</v>
      </c>
      <c r="E6" s="410"/>
      <c r="F6" s="411" t="n">
        <f aca="false">IFERROR(D6/D$15,"-")</f>
        <v>0.25</v>
      </c>
      <c r="G6" s="410" t="n">
        <v>1</v>
      </c>
      <c r="H6" s="410"/>
      <c r="I6" s="411" t="n">
        <f aca="false">IFERROR(G6/G$15,"-")</f>
        <v>0.25</v>
      </c>
      <c r="J6" s="410" t="n">
        <v>1</v>
      </c>
      <c r="K6" s="410"/>
      <c r="L6" s="411" t="n">
        <f aca="false">IFERROR(J6/J$15,"-")</f>
        <v>0.333333333333333</v>
      </c>
      <c r="M6" s="412" t="n">
        <f aca="false">J6-D6</f>
        <v>0</v>
      </c>
      <c r="N6" s="412"/>
      <c r="O6" s="412" t="n">
        <f aca="false">J6-G6</f>
        <v>0</v>
      </c>
      <c r="P6" s="412"/>
      <c r="Q6" s="413"/>
      <c r="R6" s="413"/>
      <c r="S6" s="413"/>
      <c r="T6" s="413"/>
      <c r="U6" s="413"/>
      <c r="V6" s="413"/>
    </row>
    <row r="7" s="397" customFormat="true" ht="24.75" hidden="false" customHeight="true" outlineLevel="0" collapsed="false">
      <c r="B7" s="414" t="s">
        <v>357</v>
      </c>
      <c r="C7" s="414"/>
      <c r="D7" s="415" t="n">
        <v>1</v>
      </c>
      <c r="E7" s="415"/>
      <c r="F7" s="416" t="n">
        <f aca="false">IFERROR(D7/D$15,"-")</f>
        <v>0.25</v>
      </c>
      <c r="G7" s="415" t="n">
        <v>1</v>
      </c>
      <c r="H7" s="415"/>
      <c r="I7" s="416" t="n">
        <f aca="false">IFERROR(G7/G$15,"-")</f>
        <v>0.25</v>
      </c>
      <c r="J7" s="415" t="n">
        <v>1</v>
      </c>
      <c r="K7" s="415"/>
      <c r="L7" s="416" t="n">
        <f aca="false">IFERROR(J7/J$15,"-")</f>
        <v>0.333333333333333</v>
      </c>
      <c r="M7" s="417" t="n">
        <f aca="false">J7-D7</f>
        <v>0</v>
      </c>
      <c r="N7" s="417"/>
      <c r="O7" s="417" t="n">
        <f aca="false">J7-G7</f>
        <v>0</v>
      </c>
      <c r="P7" s="417"/>
      <c r="Q7" s="418"/>
      <c r="R7" s="418"/>
      <c r="S7" s="418"/>
      <c r="T7" s="418"/>
      <c r="U7" s="418"/>
      <c r="V7" s="418"/>
    </row>
    <row r="8" s="397" customFormat="true" ht="24.75" hidden="false" customHeight="true" outlineLevel="0" collapsed="false">
      <c r="B8" s="419" t="s">
        <v>358</v>
      </c>
      <c r="C8" s="419"/>
      <c r="D8" s="420" t="n">
        <v>1</v>
      </c>
      <c r="E8" s="420"/>
      <c r="F8" s="416" t="n">
        <f aca="false">IFERROR(D8/D$15,"-")</f>
        <v>0.25</v>
      </c>
      <c r="G8" s="420" t="n">
        <v>1</v>
      </c>
      <c r="H8" s="420"/>
      <c r="I8" s="416" t="n">
        <f aca="false">IFERROR(G8/G$15,"-")</f>
        <v>0.25</v>
      </c>
      <c r="J8" s="420" t="n">
        <v>1</v>
      </c>
      <c r="K8" s="420"/>
      <c r="L8" s="416" t="n">
        <f aca="false">IFERROR(J8/J$15,"-")</f>
        <v>0.333333333333333</v>
      </c>
      <c r="M8" s="417" t="n">
        <f aca="false">J8-D8</f>
        <v>0</v>
      </c>
      <c r="N8" s="417"/>
      <c r="O8" s="417" t="n">
        <f aca="false">J8-G8</f>
        <v>0</v>
      </c>
      <c r="P8" s="417"/>
      <c r="Q8" s="418"/>
      <c r="R8" s="418"/>
      <c r="S8" s="418"/>
      <c r="T8" s="418"/>
      <c r="U8" s="418"/>
      <c r="V8" s="418"/>
    </row>
    <row r="9" s="397" customFormat="true" ht="24.75" hidden="false" customHeight="true" outlineLevel="0" collapsed="false">
      <c r="B9" s="414" t="s">
        <v>359</v>
      </c>
      <c r="C9" s="414"/>
      <c r="D9" s="420" t="n">
        <v>1</v>
      </c>
      <c r="E9" s="420"/>
      <c r="F9" s="416" t="n">
        <f aca="false">IFERROR(D9/D$15,"-")</f>
        <v>0.25</v>
      </c>
      <c r="G9" s="420" t="n">
        <v>1</v>
      </c>
      <c r="H9" s="420"/>
      <c r="I9" s="416" t="n">
        <f aca="false">IFERROR(G9/G$15,"-")</f>
        <v>0.25</v>
      </c>
      <c r="J9" s="420" t="n">
        <v>0</v>
      </c>
      <c r="K9" s="420"/>
      <c r="L9" s="416" t="n">
        <f aca="false">IFERROR(J9/J$15,"-")</f>
        <v>0</v>
      </c>
      <c r="M9" s="417" t="n">
        <f aca="false">J9-D9</f>
        <v>-1</v>
      </c>
      <c r="N9" s="417"/>
      <c r="O9" s="417" t="n">
        <f aca="false">J9-G9</f>
        <v>-1</v>
      </c>
      <c r="P9" s="417"/>
      <c r="Q9" s="421"/>
      <c r="R9" s="421"/>
      <c r="S9" s="421"/>
      <c r="T9" s="421"/>
      <c r="U9" s="421"/>
      <c r="V9" s="421"/>
    </row>
    <row r="10" s="397" customFormat="true" ht="24.75" hidden="false" customHeight="true" outlineLevel="0" collapsed="false">
      <c r="B10" s="414" t="s">
        <v>360</v>
      </c>
      <c r="C10" s="414"/>
      <c r="D10" s="415" t="n">
        <v>0</v>
      </c>
      <c r="E10" s="415"/>
      <c r="F10" s="422" t="n">
        <f aca="false">IFERROR(D10/D$15,"-")</f>
        <v>0</v>
      </c>
      <c r="G10" s="415" t="n">
        <v>0</v>
      </c>
      <c r="H10" s="415"/>
      <c r="I10" s="422" t="n">
        <f aca="false">IFERROR(G10/G$15,"-")</f>
        <v>0</v>
      </c>
      <c r="J10" s="415" t="n">
        <v>0</v>
      </c>
      <c r="K10" s="415"/>
      <c r="L10" s="422" t="n">
        <f aca="false">IFERROR(J10/J$15,"-")</f>
        <v>0</v>
      </c>
      <c r="M10" s="423" t="n">
        <f aca="false">J10-D10</f>
        <v>0</v>
      </c>
      <c r="N10" s="423"/>
      <c r="O10" s="423" t="n">
        <f aca="false">J10-G10</f>
        <v>0</v>
      </c>
      <c r="P10" s="423"/>
      <c r="Q10" s="421"/>
      <c r="R10" s="421"/>
      <c r="S10" s="421"/>
      <c r="T10" s="421"/>
      <c r="U10" s="421"/>
      <c r="V10" s="421"/>
    </row>
    <row r="11" s="397" customFormat="true" ht="24.75" hidden="false" customHeight="true" outlineLevel="0" collapsed="false">
      <c r="B11" s="414" t="s">
        <v>361</v>
      </c>
      <c r="C11" s="414"/>
      <c r="D11" s="415" t="n">
        <v>0</v>
      </c>
      <c r="E11" s="415"/>
      <c r="F11" s="422" t="n">
        <f aca="false">IFERROR(D11/D$15,"-")</f>
        <v>0</v>
      </c>
      <c r="G11" s="415" t="n">
        <v>0</v>
      </c>
      <c r="H11" s="415"/>
      <c r="I11" s="422" t="n">
        <f aca="false">IFERROR(G11/G$15,"-")</f>
        <v>0</v>
      </c>
      <c r="J11" s="415" t="n">
        <v>0</v>
      </c>
      <c r="K11" s="415"/>
      <c r="L11" s="422" t="n">
        <f aca="false">IFERROR(J11/J$15,"-")</f>
        <v>0</v>
      </c>
      <c r="M11" s="423" t="n">
        <f aca="false">J11-D11</f>
        <v>0</v>
      </c>
      <c r="N11" s="423"/>
      <c r="O11" s="423" t="n">
        <f aca="false">J11-G11</f>
        <v>0</v>
      </c>
      <c r="P11" s="423"/>
      <c r="Q11" s="424"/>
      <c r="R11" s="424"/>
      <c r="S11" s="424"/>
      <c r="T11" s="424"/>
      <c r="U11" s="424"/>
      <c r="V11" s="424"/>
    </row>
    <row r="12" s="397" customFormat="true" ht="24.75" hidden="false" customHeight="true" outlineLevel="0" collapsed="false">
      <c r="B12" s="414"/>
      <c r="C12" s="414"/>
      <c r="D12" s="415"/>
      <c r="E12" s="415"/>
      <c r="F12" s="422"/>
      <c r="G12" s="415"/>
      <c r="H12" s="415"/>
      <c r="I12" s="422"/>
      <c r="J12" s="415"/>
      <c r="K12" s="415"/>
      <c r="L12" s="422"/>
      <c r="M12" s="423"/>
      <c r="N12" s="423"/>
      <c r="O12" s="423"/>
      <c r="P12" s="423"/>
      <c r="Q12" s="418"/>
      <c r="R12" s="418"/>
      <c r="S12" s="418"/>
      <c r="T12" s="418"/>
      <c r="U12" s="418"/>
      <c r="V12" s="418"/>
    </row>
    <row r="13" s="397" customFormat="true" ht="24.75" hidden="false" customHeight="true" outlineLevel="0" collapsed="false">
      <c r="B13" s="414"/>
      <c r="C13" s="414"/>
      <c r="D13" s="415"/>
      <c r="E13" s="415"/>
      <c r="F13" s="422"/>
      <c r="G13" s="415"/>
      <c r="H13" s="415"/>
      <c r="I13" s="422"/>
      <c r="J13" s="415"/>
      <c r="K13" s="415"/>
      <c r="L13" s="422"/>
      <c r="M13" s="423"/>
      <c r="N13" s="423"/>
      <c r="O13" s="423"/>
      <c r="P13" s="423"/>
      <c r="Q13" s="418"/>
      <c r="R13" s="418"/>
      <c r="S13" s="418"/>
      <c r="T13" s="418"/>
      <c r="U13" s="418"/>
      <c r="V13" s="418"/>
    </row>
    <row r="14" s="397" customFormat="true" ht="24.75" hidden="false" customHeight="true" outlineLevel="0" collapsed="false">
      <c r="B14" s="425"/>
      <c r="C14" s="425"/>
      <c r="D14" s="426"/>
      <c r="E14" s="426"/>
      <c r="F14" s="427"/>
      <c r="G14" s="426"/>
      <c r="H14" s="426"/>
      <c r="I14" s="427"/>
      <c r="J14" s="426"/>
      <c r="K14" s="426"/>
      <c r="L14" s="427"/>
      <c r="M14" s="428"/>
      <c r="N14" s="428"/>
      <c r="O14" s="428"/>
      <c r="P14" s="428"/>
      <c r="Q14" s="429"/>
      <c r="R14" s="429"/>
      <c r="S14" s="429"/>
      <c r="T14" s="429"/>
      <c r="U14" s="429"/>
      <c r="V14" s="429"/>
    </row>
    <row r="15" s="397" customFormat="true" ht="24.75" hidden="false" customHeight="true" outlineLevel="0" collapsed="false">
      <c r="B15" s="430" t="s">
        <v>37</v>
      </c>
      <c r="C15" s="430"/>
      <c r="D15" s="431" t="n">
        <f aca="false">SUM(D6:E14)</f>
        <v>4</v>
      </c>
      <c r="E15" s="431"/>
      <c r="F15" s="432" t="n">
        <f aca="false">IFERROR(D15/D$15,"-")</f>
        <v>1</v>
      </c>
      <c r="G15" s="431" t="n">
        <f aca="false">SUM(G6:H14)</f>
        <v>4</v>
      </c>
      <c r="H15" s="431"/>
      <c r="I15" s="432" t="n">
        <f aca="false">IFERROR(G15/G$15,"-")</f>
        <v>1</v>
      </c>
      <c r="J15" s="431" t="n">
        <f aca="false">SUM(J6:K14)</f>
        <v>3</v>
      </c>
      <c r="K15" s="431"/>
      <c r="L15" s="432" t="n">
        <f aca="false">IFERROR(J15/J$15,"-")</f>
        <v>1</v>
      </c>
      <c r="M15" s="433" t="n">
        <f aca="false">SUM(M6:N14)</f>
        <v>-1</v>
      </c>
      <c r="N15" s="433"/>
      <c r="O15" s="433" t="n">
        <f aca="false">SUM(O6:P14)</f>
        <v>-1</v>
      </c>
      <c r="P15" s="433"/>
      <c r="Q15" s="434"/>
      <c r="R15" s="434"/>
      <c r="S15" s="434"/>
      <c r="T15" s="434"/>
      <c r="U15" s="434"/>
      <c r="V15" s="434"/>
    </row>
    <row r="16" customFormat="false" ht="24.75" hidden="false" customHeight="true" outlineLevel="0" collapsed="false"/>
    <row r="17" customFormat="false" ht="29.25" hidden="false" customHeight="true" outlineLevel="0" collapsed="false">
      <c r="B17" s="391" t="s">
        <v>362</v>
      </c>
      <c r="I17" s="392"/>
      <c r="J17" s="392"/>
      <c r="U17" s="392"/>
      <c r="V17" s="392"/>
    </row>
    <row r="18" s="396" customFormat="true" ht="6" hidden="false" customHeight="true" outlineLevel="0" collapsed="false">
      <c r="A18" s="393"/>
      <c r="B18" s="394"/>
      <c r="C18" s="395"/>
      <c r="D18" s="395"/>
      <c r="E18" s="395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87"/>
      <c r="Y18" s="387"/>
      <c r="Z18" s="387"/>
      <c r="AA18" s="387"/>
      <c r="AB18" s="387"/>
    </row>
    <row r="19" s="397" customFormat="true" ht="24.75" hidden="false" customHeight="true" outlineLevel="0" collapsed="false">
      <c r="C19" s="435"/>
      <c r="D19" s="436"/>
      <c r="E19" s="435"/>
      <c r="F19" s="436"/>
      <c r="G19" s="435"/>
      <c r="H19" s="436"/>
      <c r="I19" s="436"/>
      <c r="J19" s="436"/>
      <c r="K19" s="437"/>
      <c r="L19" s="437"/>
      <c r="M19" s="437"/>
      <c r="N19" s="437"/>
      <c r="O19" s="437"/>
      <c r="P19" s="437"/>
      <c r="Q19" s="437"/>
      <c r="R19" s="437"/>
      <c r="S19" s="437"/>
      <c r="T19" s="437"/>
      <c r="V19" s="402" t="s">
        <v>221</v>
      </c>
    </row>
    <row r="20" s="397" customFormat="true" ht="24.75" hidden="false" customHeight="true" outlineLevel="0" collapsed="false">
      <c r="B20" s="406" t="s">
        <v>363</v>
      </c>
      <c r="C20" s="408" t="s">
        <v>349</v>
      </c>
      <c r="D20" s="408"/>
      <c r="E20" s="408"/>
      <c r="F20" s="405" t="s">
        <v>364</v>
      </c>
      <c r="G20" s="405"/>
      <c r="H20" s="405"/>
      <c r="I20" s="405" t="str">
        <f aca="false">J5</f>
        <v>7월 현황 - 당월</v>
      </c>
      <c r="J20" s="405"/>
      <c r="K20" s="405"/>
      <c r="L20" s="405"/>
      <c r="M20" s="405" t="s">
        <v>365</v>
      </c>
      <c r="N20" s="405"/>
      <c r="O20" s="405"/>
      <c r="P20" s="405"/>
      <c r="Q20" s="438" t="s">
        <v>366</v>
      </c>
      <c r="R20" s="438"/>
      <c r="S20" s="438"/>
      <c r="T20" s="438"/>
      <c r="U20" s="406" t="s">
        <v>351</v>
      </c>
      <c r="V20" s="406"/>
    </row>
    <row r="21" s="397" customFormat="true" ht="24.75" hidden="false" customHeight="true" outlineLevel="0" collapsed="false">
      <c r="B21" s="406"/>
      <c r="C21" s="407" t="s">
        <v>352</v>
      </c>
      <c r="D21" s="407"/>
      <c r="E21" s="407"/>
      <c r="F21" s="406" t="s">
        <v>227</v>
      </c>
      <c r="G21" s="406"/>
      <c r="H21" s="406"/>
      <c r="I21" s="406" t="s">
        <v>367</v>
      </c>
      <c r="J21" s="406"/>
      <c r="K21" s="406" t="s">
        <v>368</v>
      </c>
      <c r="L21" s="406"/>
      <c r="M21" s="406" t="s">
        <v>367</v>
      </c>
      <c r="N21" s="406"/>
      <c r="O21" s="406" t="s">
        <v>368</v>
      </c>
      <c r="P21" s="406"/>
      <c r="Q21" s="406" t="s">
        <v>367</v>
      </c>
      <c r="R21" s="406"/>
      <c r="S21" s="406" t="s">
        <v>369</v>
      </c>
      <c r="T21" s="406"/>
      <c r="U21" s="406"/>
      <c r="V21" s="406"/>
    </row>
    <row r="22" s="397" customFormat="true" ht="24.75" hidden="false" customHeight="true" outlineLevel="0" collapsed="false">
      <c r="B22" s="439" t="s">
        <v>370</v>
      </c>
      <c r="C22" s="440" t="n">
        <v>0</v>
      </c>
      <c r="D22" s="440"/>
      <c r="E22" s="441" t="str">
        <f aca="false">IFERROR(C22/$C$28,"-")</f>
        <v>-</v>
      </c>
      <c r="F22" s="442" t="n">
        <v>0</v>
      </c>
      <c r="G22" s="442"/>
      <c r="H22" s="443" t="str">
        <f aca="false">IFERROR(F22/$F$28,"-")</f>
        <v>-</v>
      </c>
      <c r="I22" s="444"/>
      <c r="J22" s="444"/>
      <c r="K22" s="445" t="n">
        <v>0</v>
      </c>
      <c r="L22" s="445"/>
      <c r="M22" s="444" t="n">
        <v>0</v>
      </c>
      <c r="N22" s="444"/>
      <c r="O22" s="446" t="n">
        <f aca="false">(BS_우리인터텍스!C25/1000000)-BS_우리인터텍스!E25/1000000</f>
        <v>0</v>
      </c>
      <c r="P22" s="446"/>
      <c r="Q22" s="447" t="n">
        <v>0</v>
      </c>
      <c r="R22" s="447"/>
      <c r="S22" s="447" t="n">
        <v>0</v>
      </c>
      <c r="T22" s="447"/>
      <c r="U22" s="448"/>
      <c r="V22" s="448"/>
    </row>
    <row r="23" s="397" customFormat="true" ht="24.75" hidden="false" customHeight="true" outlineLevel="0" collapsed="false">
      <c r="A23" s="449" t="n">
        <v>44846</v>
      </c>
      <c r="B23" s="450" t="s">
        <v>371</v>
      </c>
      <c r="C23" s="451" t="n">
        <v>0</v>
      </c>
      <c r="D23" s="451"/>
      <c r="E23" s="452" t="str">
        <f aca="false">IFERROR(C23/$C$28,"-")</f>
        <v>-</v>
      </c>
      <c r="F23" s="453" t="n">
        <v>0</v>
      </c>
      <c r="G23" s="453"/>
      <c r="H23" s="454" t="str">
        <f aca="false">IFERROR(F23/$F$28,"-")</f>
        <v>-</v>
      </c>
      <c r="I23" s="455" t="n">
        <v>0</v>
      </c>
      <c r="J23" s="455"/>
      <c r="K23" s="445" t="n">
        <v>0</v>
      </c>
      <c r="L23" s="445"/>
      <c r="M23" s="455" t="n">
        <v>0</v>
      </c>
      <c r="N23" s="455"/>
      <c r="O23" s="456" t="n">
        <f aca="false">(BS_우리인터텍스!C29/1000000)-BS_우리인터텍스!E29/1000000</f>
        <v>-2.10791</v>
      </c>
      <c r="P23" s="456"/>
      <c r="Q23" s="457" t="n">
        <v>0</v>
      </c>
      <c r="R23" s="457"/>
      <c r="S23" s="445" t="n">
        <v>0</v>
      </c>
      <c r="T23" s="445"/>
      <c r="U23" s="458"/>
      <c r="V23" s="458"/>
    </row>
    <row r="24" s="397" customFormat="true" ht="24.75" hidden="false" customHeight="true" outlineLevel="0" collapsed="false">
      <c r="B24" s="450" t="s">
        <v>372</v>
      </c>
      <c r="C24" s="451" t="n">
        <v>0</v>
      </c>
      <c r="D24" s="451"/>
      <c r="E24" s="452" t="str">
        <f aca="false">IFERROR(C24/$C$28,"-")</f>
        <v>-</v>
      </c>
      <c r="F24" s="453" t="n">
        <v>0</v>
      </c>
      <c r="G24" s="453"/>
      <c r="H24" s="454" t="str">
        <f aca="false">IFERROR(F24/$F$28,"-")</f>
        <v>-</v>
      </c>
      <c r="I24" s="455" t="n">
        <v>0</v>
      </c>
      <c r="J24" s="455"/>
      <c r="K24" s="445" t="n">
        <v>0</v>
      </c>
      <c r="L24" s="445"/>
      <c r="M24" s="455" t="n">
        <v>0</v>
      </c>
      <c r="N24" s="455"/>
      <c r="O24" s="456" t="n">
        <f aca="false">(BS_우리인터텍스!C38/1000000)-BS_우리인터텍스!E38/1000000</f>
        <v>0</v>
      </c>
      <c r="P24" s="456"/>
      <c r="Q24" s="445" t="n">
        <v>0</v>
      </c>
      <c r="R24" s="445"/>
      <c r="S24" s="445" t="n">
        <v>0</v>
      </c>
      <c r="T24" s="445"/>
      <c r="U24" s="458"/>
      <c r="V24" s="458"/>
    </row>
    <row r="25" s="397" customFormat="true" ht="24.75" hidden="false" customHeight="true" outlineLevel="0" collapsed="false">
      <c r="B25" s="450" t="s">
        <v>373</v>
      </c>
      <c r="C25" s="451" t="n">
        <v>0</v>
      </c>
      <c r="D25" s="451"/>
      <c r="E25" s="452" t="str">
        <f aca="false">IFERROR(C25/$C$28,"-")</f>
        <v>-</v>
      </c>
      <c r="F25" s="453" t="n">
        <v>0</v>
      </c>
      <c r="G25" s="453"/>
      <c r="H25" s="454" t="str">
        <f aca="false">IFERROR(F25/$F$28,"-")</f>
        <v>-</v>
      </c>
      <c r="I25" s="455" t="n">
        <v>0</v>
      </c>
      <c r="J25" s="455"/>
      <c r="K25" s="445" t="n">
        <v>0</v>
      </c>
      <c r="L25" s="445"/>
      <c r="M25" s="455" t="n">
        <v>0</v>
      </c>
      <c r="N25" s="455"/>
      <c r="O25" s="456" t="n">
        <f aca="false">(BS_우리인터텍스!C42/1000000)-BS_우리인터텍스!E42/1000000</f>
        <v>-1500</v>
      </c>
      <c r="P25" s="456"/>
      <c r="Q25" s="445" t="n">
        <v>0</v>
      </c>
      <c r="R25" s="445"/>
      <c r="S25" s="445" t="n">
        <v>0</v>
      </c>
      <c r="T25" s="445"/>
      <c r="U25" s="458"/>
      <c r="V25" s="458"/>
    </row>
    <row r="26" s="397" customFormat="true" ht="24.75" hidden="false" customHeight="true" outlineLevel="0" collapsed="false">
      <c r="B26" s="450" t="s">
        <v>374</v>
      </c>
      <c r="C26" s="451" t="n">
        <v>0</v>
      </c>
      <c r="D26" s="451"/>
      <c r="E26" s="452" t="str">
        <f aca="false">IFERROR(C26/$C$28,"-")</f>
        <v>-</v>
      </c>
      <c r="F26" s="453" t="n">
        <v>0</v>
      </c>
      <c r="G26" s="453"/>
      <c r="H26" s="454" t="str">
        <f aca="false">IFERROR(F26/$F$28,"-")</f>
        <v>-</v>
      </c>
      <c r="I26" s="455" t="n">
        <v>0</v>
      </c>
      <c r="J26" s="455"/>
      <c r="K26" s="445" t="n">
        <v>0</v>
      </c>
      <c r="L26" s="445"/>
      <c r="M26" s="455" t="n">
        <v>0</v>
      </c>
      <c r="N26" s="455"/>
      <c r="O26" s="456" t="n">
        <f aca="false">(BS_우리인터텍스!C43/1000000)-BS_우리인터텍스!E43/1000000</f>
        <v>417.826008</v>
      </c>
      <c r="P26" s="456"/>
      <c r="Q26" s="445" t="n">
        <v>0</v>
      </c>
      <c r="R26" s="445"/>
      <c r="S26" s="445" t="n">
        <v>0</v>
      </c>
      <c r="T26" s="445"/>
      <c r="U26" s="458"/>
      <c r="V26" s="458"/>
    </row>
    <row r="27" s="397" customFormat="true" ht="24.75" hidden="false" customHeight="true" outlineLevel="0" collapsed="false">
      <c r="B27" s="459"/>
      <c r="C27" s="460"/>
      <c r="D27" s="460"/>
      <c r="E27" s="461"/>
      <c r="F27" s="462"/>
      <c r="G27" s="462"/>
      <c r="H27" s="463"/>
      <c r="I27" s="464"/>
      <c r="J27" s="464"/>
      <c r="K27" s="465"/>
      <c r="L27" s="465"/>
      <c r="M27" s="464"/>
      <c r="N27" s="464"/>
      <c r="O27" s="464"/>
      <c r="P27" s="464"/>
      <c r="Q27" s="465"/>
      <c r="R27" s="465"/>
      <c r="S27" s="465"/>
      <c r="T27" s="465"/>
      <c r="U27" s="466"/>
      <c r="V27" s="466"/>
    </row>
    <row r="28" s="467" customFormat="true" ht="24.75" hidden="false" customHeight="true" outlineLevel="0" collapsed="false">
      <c r="B28" s="430" t="s">
        <v>37</v>
      </c>
      <c r="C28" s="468" t="n">
        <f aca="false">SUM(C22:D27)</f>
        <v>0</v>
      </c>
      <c r="D28" s="468"/>
      <c r="E28" s="469" t="n">
        <f aca="false">SUM(E22:E27)</f>
        <v>0</v>
      </c>
      <c r="F28" s="468" t="n">
        <f aca="false">SUM(F22:G27)</f>
        <v>0</v>
      </c>
      <c r="G28" s="468"/>
      <c r="H28" s="469" t="n">
        <f aca="false">SUM(H22:H27)</f>
        <v>0</v>
      </c>
      <c r="I28" s="468" t="n">
        <f aca="false">SUM(I22:J27)</f>
        <v>0</v>
      </c>
      <c r="J28" s="468"/>
      <c r="K28" s="468" t="n">
        <f aca="false">SUM(K22:L27)</f>
        <v>0</v>
      </c>
      <c r="L28" s="468"/>
      <c r="M28" s="468" t="n">
        <f aca="false">SUM(M22:N27)</f>
        <v>0</v>
      </c>
      <c r="N28" s="468"/>
      <c r="O28" s="468" t="n">
        <f aca="false">SUM(O22:P27)</f>
        <v>-1084.281902</v>
      </c>
      <c r="P28" s="468"/>
      <c r="Q28" s="468" t="n">
        <f aca="false">SUM(Q22:R27)</f>
        <v>0</v>
      </c>
      <c r="R28" s="468"/>
      <c r="S28" s="468" t="n">
        <f aca="false">SUM(S22:T27)</f>
        <v>0</v>
      </c>
      <c r="T28" s="468"/>
      <c r="U28" s="470"/>
      <c r="V28" s="470"/>
    </row>
    <row r="29" s="397" customFormat="true" ht="24.75" hidden="false" customHeight="true" outlineLevel="0" collapsed="false">
      <c r="B29" s="471"/>
      <c r="C29" s="472"/>
      <c r="D29" s="472"/>
      <c r="E29" s="472"/>
      <c r="F29" s="472"/>
      <c r="G29" s="472"/>
      <c r="H29" s="472"/>
      <c r="I29" s="472"/>
      <c r="J29" s="472"/>
      <c r="K29" s="472"/>
      <c r="L29" s="472"/>
      <c r="M29" s="473"/>
      <c r="N29" s="473"/>
      <c r="O29" s="437"/>
      <c r="P29" s="437"/>
      <c r="Q29" s="437"/>
      <c r="R29" s="437"/>
      <c r="S29" s="437"/>
      <c r="T29" s="437"/>
    </row>
    <row r="30" s="397" customFormat="true" ht="24.75" hidden="false" customHeight="true" outlineLevel="0" collapsed="false">
      <c r="B30" s="474" t="s">
        <v>375</v>
      </c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476"/>
      <c r="O30" s="477" t="s">
        <v>376</v>
      </c>
      <c r="P30" s="477"/>
      <c r="Q30" s="477"/>
      <c r="R30" s="477"/>
      <c r="S30" s="477"/>
      <c r="T30" s="477"/>
      <c r="U30" s="477"/>
      <c r="V30" s="477"/>
    </row>
    <row r="31" s="397" customFormat="true" ht="24.75" hidden="false" customHeight="true" outlineLevel="0" collapsed="false">
      <c r="B31" s="478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80"/>
      <c r="O31" s="481"/>
      <c r="P31" s="479"/>
      <c r="Q31" s="479"/>
      <c r="R31" s="479"/>
      <c r="S31" s="479"/>
      <c r="T31" s="479"/>
      <c r="U31" s="479"/>
      <c r="V31" s="480"/>
    </row>
    <row r="32" s="397" customFormat="true" ht="24.75" hidden="false" customHeight="true" outlineLevel="0" collapsed="false">
      <c r="B32" s="482"/>
      <c r="C32" s="483"/>
      <c r="D32" s="483"/>
      <c r="E32" s="483"/>
      <c r="F32" s="483"/>
      <c r="G32" s="483"/>
      <c r="H32" s="483"/>
      <c r="I32" s="483"/>
      <c r="J32" s="483"/>
      <c r="K32" s="483"/>
      <c r="L32" s="483"/>
      <c r="M32" s="483"/>
      <c r="N32" s="484"/>
      <c r="O32" s="482"/>
      <c r="P32" s="485"/>
      <c r="Q32" s="485"/>
      <c r="R32" s="485"/>
      <c r="S32" s="485"/>
      <c r="T32" s="485"/>
      <c r="U32" s="485"/>
      <c r="V32" s="486"/>
    </row>
    <row r="33" s="397" customFormat="true" ht="24.75" hidden="false" customHeight="true" outlineLevel="0" collapsed="false">
      <c r="B33" s="482"/>
      <c r="C33" s="487"/>
      <c r="D33" s="487"/>
      <c r="E33" s="487"/>
      <c r="F33" s="483"/>
      <c r="G33" s="483"/>
      <c r="H33" s="483"/>
      <c r="I33" s="483"/>
      <c r="J33" s="488"/>
      <c r="K33" s="483"/>
      <c r="L33" s="483"/>
      <c r="M33" s="488"/>
      <c r="N33" s="484"/>
      <c r="O33" s="482"/>
      <c r="P33" s="485"/>
      <c r="Q33" s="485"/>
      <c r="R33" s="485"/>
      <c r="S33" s="485"/>
      <c r="T33" s="485"/>
      <c r="U33" s="485"/>
      <c r="V33" s="486"/>
    </row>
    <row r="34" s="397" customFormat="true" ht="24.75" hidden="false" customHeight="true" outlineLevel="0" collapsed="false">
      <c r="B34" s="482"/>
      <c r="C34" s="483"/>
      <c r="D34" s="483"/>
      <c r="E34" s="483"/>
      <c r="F34" s="483"/>
      <c r="G34" s="483"/>
      <c r="H34" s="483"/>
      <c r="I34" s="483"/>
      <c r="J34" s="488"/>
      <c r="K34" s="483"/>
      <c r="L34" s="483"/>
      <c r="M34" s="488"/>
      <c r="N34" s="484"/>
      <c r="O34" s="482"/>
      <c r="P34" s="485"/>
      <c r="Q34" s="485"/>
      <c r="R34" s="485"/>
      <c r="S34" s="485"/>
      <c r="T34" s="485"/>
      <c r="U34" s="485"/>
      <c r="V34" s="484"/>
    </row>
    <row r="35" s="397" customFormat="true" ht="24.75" hidden="false" customHeight="true" outlineLevel="0" collapsed="false">
      <c r="B35" s="482"/>
      <c r="C35" s="483"/>
      <c r="D35" s="483"/>
      <c r="E35" s="483"/>
      <c r="F35" s="483"/>
      <c r="G35" s="483"/>
      <c r="H35" s="483"/>
      <c r="I35" s="483"/>
      <c r="J35" s="488"/>
      <c r="K35" s="483"/>
      <c r="L35" s="483"/>
      <c r="M35" s="488"/>
      <c r="N35" s="484"/>
      <c r="O35" s="482"/>
      <c r="P35" s="485"/>
      <c r="Q35" s="485"/>
      <c r="R35" s="485"/>
      <c r="S35" s="485"/>
      <c r="T35" s="485"/>
      <c r="U35" s="485"/>
      <c r="V35" s="484"/>
    </row>
    <row r="36" s="397" customFormat="true" ht="24.75" hidden="false" customHeight="true" outlineLevel="0" collapsed="false">
      <c r="B36" s="482"/>
      <c r="C36" s="483"/>
      <c r="D36" s="483"/>
      <c r="E36" s="483"/>
      <c r="F36" s="483"/>
      <c r="G36" s="483"/>
      <c r="H36" s="483"/>
      <c r="I36" s="489"/>
      <c r="J36" s="488"/>
      <c r="K36" s="483"/>
      <c r="L36" s="483"/>
      <c r="M36" s="488"/>
      <c r="N36" s="484"/>
      <c r="O36" s="482"/>
      <c r="P36" s="485"/>
      <c r="Q36" s="485"/>
      <c r="R36" s="485"/>
      <c r="S36" s="485"/>
      <c r="T36" s="485"/>
      <c r="U36" s="485"/>
      <c r="V36" s="484"/>
    </row>
    <row r="37" s="397" customFormat="true" ht="24.75" hidden="false" customHeight="true" outlineLevel="0" collapsed="false">
      <c r="B37" s="490"/>
      <c r="C37" s="491"/>
      <c r="D37" s="491"/>
      <c r="E37" s="491"/>
      <c r="F37" s="491"/>
      <c r="G37" s="491"/>
      <c r="H37" s="491"/>
      <c r="I37" s="491"/>
      <c r="J37" s="492"/>
      <c r="K37" s="491"/>
      <c r="L37" s="491"/>
      <c r="M37" s="492"/>
      <c r="N37" s="493"/>
      <c r="O37" s="494"/>
      <c r="P37" s="495"/>
      <c r="Q37" s="495"/>
      <c r="R37" s="495"/>
      <c r="S37" s="495"/>
      <c r="T37" s="495"/>
      <c r="U37" s="495"/>
      <c r="V37" s="493"/>
    </row>
    <row r="38" s="397" customFormat="true" ht="24.75" hidden="false" customHeight="true" outlineLevel="0" collapsed="false">
      <c r="C38" s="435"/>
      <c r="D38" s="436"/>
      <c r="E38" s="435"/>
      <c r="F38" s="436"/>
      <c r="G38" s="435"/>
      <c r="H38" s="436"/>
      <c r="I38" s="436"/>
      <c r="J38" s="436"/>
      <c r="K38" s="437"/>
      <c r="L38" s="437"/>
      <c r="M38" s="437"/>
      <c r="N38" s="437"/>
      <c r="O38" s="437"/>
      <c r="P38" s="437"/>
      <c r="Q38" s="437"/>
      <c r="R38" s="437"/>
      <c r="S38" s="437"/>
      <c r="T38" s="437"/>
    </row>
    <row r="39" customFormat="false" ht="24.75" hidden="false" customHeight="true" outlineLevel="0" collapsed="false"/>
    <row r="40" customFormat="false" ht="24.75" hidden="false" customHeight="true" outlineLevel="0" collapsed="false"/>
    <row r="41" customFormat="false" ht="24.75" hidden="false" customHeight="true" outlineLevel="0" collapsed="false"/>
    <row r="42" customFormat="false" ht="24.75" hidden="false" customHeight="true" outlineLevel="0" collapsed="false"/>
  </sheetData>
  <mergeCells count="158">
    <mergeCell ref="B4:C5"/>
    <mergeCell ref="D4:F4"/>
    <mergeCell ref="G4:P4"/>
    <mergeCell ref="Q4:V5"/>
    <mergeCell ref="D5:F5"/>
    <mergeCell ref="G5:I5"/>
    <mergeCell ref="J5:L5"/>
    <mergeCell ref="M5:N5"/>
    <mergeCell ref="O5:P5"/>
    <mergeCell ref="B6:C6"/>
    <mergeCell ref="D6:E6"/>
    <mergeCell ref="G6:H6"/>
    <mergeCell ref="J6:K6"/>
    <mergeCell ref="M6:N6"/>
    <mergeCell ref="O6:P6"/>
    <mergeCell ref="Q6:V6"/>
    <mergeCell ref="B7:C7"/>
    <mergeCell ref="D7:E7"/>
    <mergeCell ref="G7:H7"/>
    <mergeCell ref="J7:K7"/>
    <mergeCell ref="M7:N7"/>
    <mergeCell ref="O7:P7"/>
    <mergeCell ref="Q7:V7"/>
    <mergeCell ref="B8:C8"/>
    <mergeCell ref="D8:E8"/>
    <mergeCell ref="G8:H8"/>
    <mergeCell ref="J8:K8"/>
    <mergeCell ref="M8:N8"/>
    <mergeCell ref="O8:P8"/>
    <mergeCell ref="Q8:V8"/>
    <mergeCell ref="B9:C9"/>
    <mergeCell ref="D9:E9"/>
    <mergeCell ref="G9:H9"/>
    <mergeCell ref="J9:K9"/>
    <mergeCell ref="M9:N9"/>
    <mergeCell ref="O9:P9"/>
    <mergeCell ref="Q9:V9"/>
    <mergeCell ref="B10:C10"/>
    <mergeCell ref="D10:E10"/>
    <mergeCell ref="G10:H10"/>
    <mergeCell ref="J10:K10"/>
    <mergeCell ref="M10:N10"/>
    <mergeCell ref="O10:P10"/>
    <mergeCell ref="Q10:V10"/>
    <mergeCell ref="B11:C11"/>
    <mergeCell ref="D11:E11"/>
    <mergeCell ref="G11:H11"/>
    <mergeCell ref="J11:K11"/>
    <mergeCell ref="M11:N11"/>
    <mergeCell ref="O11:P11"/>
    <mergeCell ref="Q11:V11"/>
    <mergeCell ref="B12:C12"/>
    <mergeCell ref="D12:E12"/>
    <mergeCell ref="G12:H12"/>
    <mergeCell ref="J12:K12"/>
    <mergeCell ref="M12:N12"/>
    <mergeCell ref="O12:P12"/>
    <mergeCell ref="Q12:V12"/>
    <mergeCell ref="B13:C13"/>
    <mergeCell ref="D13:E13"/>
    <mergeCell ref="G13:H13"/>
    <mergeCell ref="J13:K13"/>
    <mergeCell ref="M13:N13"/>
    <mergeCell ref="O13:P13"/>
    <mergeCell ref="Q13:V13"/>
    <mergeCell ref="B14:C14"/>
    <mergeCell ref="D14:E14"/>
    <mergeCell ref="G14:H14"/>
    <mergeCell ref="J14:K14"/>
    <mergeCell ref="M14:N14"/>
    <mergeCell ref="O14:P14"/>
    <mergeCell ref="Q14:V14"/>
    <mergeCell ref="B15:C15"/>
    <mergeCell ref="D15:E15"/>
    <mergeCell ref="G15:H15"/>
    <mergeCell ref="J15:K15"/>
    <mergeCell ref="M15:N15"/>
    <mergeCell ref="O15:P15"/>
    <mergeCell ref="Q15:V15"/>
    <mergeCell ref="B20:B21"/>
    <mergeCell ref="C20:E20"/>
    <mergeCell ref="F20:H20"/>
    <mergeCell ref="I20:L20"/>
    <mergeCell ref="M20:P20"/>
    <mergeCell ref="Q20:T20"/>
    <mergeCell ref="U20:V21"/>
    <mergeCell ref="C21:E21"/>
    <mergeCell ref="F21:H21"/>
    <mergeCell ref="I21:J21"/>
    <mergeCell ref="K21:L21"/>
    <mergeCell ref="M21:N21"/>
    <mergeCell ref="O21:P21"/>
    <mergeCell ref="Q21:R21"/>
    <mergeCell ref="S21:T21"/>
    <mergeCell ref="C22:D22"/>
    <mergeCell ref="F22:G22"/>
    <mergeCell ref="I22:J22"/>
    <mergeCell ref="K22:L22"/>
    <mergeCell ref="M22:N22"/>
    <mergeCell ref="O22:P22"/>
    <mergeCell ref="Q22:R22"/>
    <mergeCell ref="S22:T22"/>
    <mergeCell ref="U22:V22"/>
    <mergeCell ref="C23:D23"/>
    <mergeCell ref="F23:G23"/>
    <mergeCell ref="I23:J23"/>
    <mergeCell ref="K23:L23"/>
    <mergeCell ref="M23:N23"/>
    <mergeCell ref="O23:P23"/>
    <mergeCell ref="Q23:R23"/>
    <mergeCell ref="S23:T23"/>
    <mergeCell ref="U23:V23"/>
    <mergeCell ref="C24:D24"/>
    <mergeCell ref="F24:G24"/>
    <mergeCell ref="I24:J24"/>
    <mergeCell ref="K24:L24"/>
    <mergeCell ref="M24:N24"/>
    <mergeCell ref="O24:P24"/>
    <mergeCell ref="Q24:R24"/>
    <mergeCell ref="S24:T24"/>
    <mergeCell ref="U24:V24"/>
    <mergeCell ref="C25:D25"/>
    <mergeCell ref="F25:G25"/>
    <mergeCell ref="I25:J25"/>
    <mergeCell ref="K25:L25"/>
    <mergeCell ref="M25:N25"/>
    <mergeCell ref="O25:P25"/>
    <mergeCell ref="Q25:R25"/>
    <mergeCell ref="S25:T25"/>
    <mergeCell ref="U25:V25"/>
    <mergeCell ref="C26:D26"/>
    <mergeCell ref="F26:G26"/>
    <mergeCell ref="I26:J26"/>
    <mergeCell ref="K26:L26"/>
    <mergeCell ref="M26:N26"/>
    <mergeCell ref="O26:P26"/>
    <mergeCell ref="Q26:R26"/>
    <mergeCell ref="S26:T26"/>
    <mergeCell ref="U26:V26"/>
    <mergeCell ref="C27:D27"/>
    <mergeCell ref="F27:G27"/>
    <mergeCell ref="I27:J27"/>
    <mergeCell ref="K27:L27"/>
    <mergeCell ref="M27:N27"/>
    <mergeCell ref="O27:P27"/>
    <mergeCell ref="Q27:R27"/>
    <mergeCell ref="S27:T27"/>
    <mergeCell ref="U27:V27"/>
    <mergeCell ref="C28:D28"/>
    <mergeCell ref="F28:G28"/>
    <mergeCell ref="I28:J28"/>
    <mergeCell ref="K28:L28"/>
    <mergeCell ref="M28:N28"/>
    <mergeCell ref="O28:P28"/>
    <mergeCell ref="Q28:R28"/>
    <mergeCell ref="S28:T28"/>
    <mergeCell ref="U28:V28"/>
    <mergeCell ref="O30:V30"/>
  </mergeCells>
  <conditionalFormatting sqref="O6:O15">
    <cfRule type="cellIs" priority="2" operator="lessThan" aboveAverage="0" equalAverage="0" bottom="0" percent="0" rank="0" text="" dxfId="0">
      <formula>0</formula>
    </cfRule>
  </conditionalFormatting>
  <conditionalFormatting sqref="M6:M7">
    <cfRule type="cellIs" priority="3" operator="lessThan" aboveAverage="0" equalAverage="0" bottom="0" percent="0" rank="0" text="" dxfId="0">
      <formula>0</formula>
    </cfRule>
  </conditionalFormatting>
  <conditionalFormatting sqref="F22:F27 H22:H27">
    <cfRule type="cellIs" priority="4" operator="lessThan" aboveAverage="0" equalAverage="0" bottom="0" percent="0" rank="0" text="" dxfId="0">
      <formula>0</formula>
    </cfRule>
  </conditionalFormatting>
  <conditionalFormatting sqref="I7:J15">
    <cfRule type="cellIs" priority="5" operator="lessThan" aboveAverage="0" equalAverage="0" bottom="0" percent="0" rank="0" text="" dxfId="0">
      <formula>0</formula>
    </cfRule>
  </conditionalFormatting>
  <conditionalFormatting sqref="F7:G15">
    <cfRule type="cellIs" priority="6" operator="lessThan" aboveAverage="0" equalAverage="0" bottom="0" percent="0" rank="0" text="" dxfId="0">
      <formula>0</formula>
    </cfRule>
  </conditionalFormatting>
  <conditionalFormatting sqref="D7:D15 L7 L8:M15">
    <cfRule type="cellIs" priority="7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0395833333333333" right="0.0395833333333333" top="0.472222222222222" bottom="0.0395833333333333" header="0.511811023622047" footer="0.511811023622047"/>
  <pageSetup paperSize="9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T9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49" activePane="bottomRight" state="frozen"/>
      <selection pane="topLeft" activeCell="A1" activeCellId="0" sqref="A1"/>
      <selection pane="topRight" activeCell="B1" activeCellId="0" sqref="B1"/>
      <selection pane="bottomLeft" activeCell="A49" activeCellId="0" sqref="A49"/>
      <selection pane="bottomRight" activeCell="C84" activeCellId="0" sqref="C84"/>
    </sheetView>
  </sheetViews>
  <sheetFormatPr defaultColWidth="12.5" defaultRowHeight="10.5" zeroHeight="false" outlineLevelRow="0" outlineLevelCol="0"/>
  <cols>
    <col collapsed="false" customWidth="true" hidden="false" outlineLevel="0" max="1" min="1" style="39" width="23.9"/>
    <col collapsed="false" customWidth="true" hidden="false" outlineLevel="0" max="2" min="2" style="39" width="13.1"/>
    <col collapsed="false" customWidth="true" hidden="false" outlineLevel="0" max="3" min="3" style="39" width="11.5"/>
    <col collapsed="false" customWidth="true" hidden="false" outlineLevel="0" max="4" min="4" style="39" width="13"/>
    <col collapsed="false" customWidth="true" hidden="false" outlineLevel="0" max="5" min="5" style="39" width="12.4"/>
    <col collapsed="false" customWidth="true" hidden="false" outlineLevel="0" max="6" min="6" style="39" width="13"/>
    <col collapsed="false" customWidth="true" hidden="false" outlineLevel="0" max="7" min="7" style="39" width="11.5"/>
    <col collapsed="false" customWidth="true" hidden="false" outlineLevel="0" max="8" min="8" style="39" width="13.7"/>
    <col collapsed="false" customWidth="true" hidden="false" outlineLevel="0" max="9" min="9" style="39" width="12.4"/>
    <col collapsed="false" customWidth="true" hidden="false" outlineLevel="0" max="11" min="10" style="39" width="11.5"/>
    <col collapsed="false" customWidth="true" hidden="false" outlineLevel="0" max="13" min="12" style="39" width="13.7"/>
    <col collapsed="false" customWidth="true" hidden="false" outlineLevel="0" max="14" min="14" style="39" width="14.2"/>
    <col collapsed="false" customWidth="true" hidden="false" outlineLevel="0" max="15" min="15" style="39" width="8"/>
    <col collapsed="false" customWidth="true" hidden="false" outlineLevel="0" max="17" min="16" style="39" width="13.7"/>
    <col collapsed="false" customWidth="true" hidden="false" outlineLevel="0" max="18" min="18" style="39" width="16.2"/>
    <col collapsed="false" customWidth="false" hidden="false" outlineLevel="0" max="19" min="19" style="39" width="12.5"/>
    <col collapsed="false" customWidth="true" hidden="false" outlineLevel="0" max="20" min="20" style="39" width="19.6"/>
    <col collapsed="false" customWidth="false" hidden="false" outlineLevel="0" max="16384" min="21" style="39" width="12.5"/>
  </cols>
  <sheetData>
    <row r="1" customFormat="false" ht="17.25" hidden="false" customHeight="true" outlineLevel="0" collapsed="false">
      <c r="A1" s="40" t="s">
        <v>36</v>
      </c>
      <c r="B1" s="41" t="s">
        <v>37</v>
      </c>
      <c r="C1" s="42" t="s">
        <v>377</v>
      </c>
      <c r="D1" s="42" t="s">
        <v>378</v>
      </c>
      <c r="E1" s="42" t="s">
        <v>379</v>
      </c>
      <c r="F1" s="42" t="s">
        <v>380</v>
      </c>
      <c r="G1" s="42" t="s">
        <v>381</v>
      </c>
      <c r="H1" s="42" t="s">
        <v>382</v>
      </c>
      <c r="I1" s="42" t="s">
        <v>383</v>
      </c>
      <c r="J1" s="42" t="s">
        <v>384</v>
      </c>
      <c r="K1" s="42" t="s">
        <v>385</v>
      </c>
      <c r="L1" s="42" t="s">
        <v>386</v>
      </c>
      <c r="M1" s="42" t="s">
        <v>387</v>
      </c>
      <c r="N1" s="42" t="s">
        <v>388</v>
      </c>
      <c r="P1" s="43" t="s">
        <v>50</v>
      </c>
      <c r="Q1" s="43" t="s">
        <v>389</v>
      </c>
      <c r="R1" s="43" t="s">
        <v>51</v>
      </c>
    </row>
    <row r="2" s="46" customFormat="true" ht="13.5" hidden="false" customHeight="true" outlineLevel="0" collapsed="false">
      <c r="A2" s="44" t="s">
        <v>52</v>
      </c>
      <c r="B2" s="45" t="n">
        <f aca="false">B3+B4-B5</f>
        <v>0</v>
      </c>
      <c r="C2" s="45" t="n">
        <f aca="false">C3+C4-C5</f>
        <v>0</v>
      </c>
      <c r="D2" s="45" t="n">
        <f aca="false">D3+D4-D5</f>
        <v>0</v>
      </c>
      <c r="E2" s="45" t="n">
        <f aca="false">E3+E4-E5</f>
        <v>0</v>
      </c>
      <c r="F2" s="45" t="n">
        <f aca="false">F3+F4-F5</f>
        <v>0</v>
      </c>
      <c r="G2" s="45" t="n">
        <f aca="false">G3+G4-G5</f>
        <v>0</v>
      </c>
      <c r="H2" s="45" t="n">
        <f aca="false">H3+H4-H5</f>
        <v>0</v>
      </c>
      <c r="I2" s="45" t="n">
        <f aca="false">I3+I4-I5</f>
        <v>0</v>
      </c>
      <c r="J2" s="45" t="n">
        <f aca="false">J3+J4-J5</f>
        <v>0</v>
      </c>
      <c r="K2" s="45" t="n">
        <f aca="false">K3+K4-K5</f>
        <v>0</v>
      </c>
      <c r="L2" s="45" t="n">
        <f aca="false">L3+L4-L5</f>
        <v>0</v>
      </c>
      <c r="M2" s="45" t="n">
        <f aca="false">M3+M4-M5</f>
        <v>0</v>
      </c>
      <c r="N2" s="45" t="n">
        <f aca="false">N3+N4-N5</f>
        <v>0</v>
      </c>
      <c r="P2" s="496" t="n">
        <f aca="false">N2</f>
        <v>0</v>
      </c>
      <c r="Q2" s="496" t="n">
        <f aca="false">N2</f>
        <v>0</v>
      </c>
      <c r="R2" s="48" t="n">
        <f aca="false">SUM(C2:M2)</f>
        <v>0</v>
      </c>
      <c r="S2" s="46" t="n">
        <f aca="false">R2=B2</f>
        <v>1</v>
      </c>
      <c r="T2" s="49" t="n">
        <f aca="false">R3+R4-R5</f>
        <v>0</v>
      </c>
    </row>
    <row r="3" customFormat="false" ht="11.25" hidden="false" customHeight="true" outlineLevel="0" collapsed="false">
      <c r="A3" s="50" t="s">
        <v>53</v>
      </c>
      <c r="B3" s="45" t="n">
        <f aca="false">SUM(C3)</f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P3" s="51" t="n">
        <f aca="false">N3</f>
        <v>0</v>
      </c>
      <c r="Q3" s="51" t="n">
        <f aca="false">N3</f>
        <v>0</v>
      </c>
      <c r="R3" s="48" t="n">
        <f aca="false">C3</f>
        <v>0</v>
      </c>
      <c r="S3" s="39" t="n">
        <f aca="false">R3=B3</f>
        <v>1</v>
      </c>
    </row>
    <row r="4" customFormat="false" ht="11.25" hidden="false" customHeight="true" outlineLevel="0" collapsed="false">
      <c r="A4" s="50" t="s">
        <v>54</v>
      </c>
      <c r="B4" s="45" t="n">
        <f aca="false">SUM(C4:N4)</f>
        <v>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P4" s="51" t="n">
        <f aca="false">N4</f>
        <v>0</v>
      </c>
      <c r="Q4" s="51" t="n">
        <f aca="false">N4</f>
        <v>0</v>
      </c>
      <c r="R4" s="48" t="n">
        <f aca="false">SUM(C4:M4)</f>
        <v>0</v>
      </c>
      <c r="S4" s="39" t="n">
        <f aca="false">R4=B4</f>
        <v>1</v>
      </c>
    </row>
    <row r="5" customFormat="false" ht="11.25" hidden="false" customHeight="true" outlineLevel="0" collapsed="false">
      <c r="A5" s="50" t="s">
        <v>55</v>
      </c>
      <c r="B5" s="45" t="n">
        <f aca="false">N5</f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P5" s="51" t="n">
        <f aca="false">N5</f>
        <v>0</v>
      </c>
      <c r="Q5" s="51" t="n">
        <f aca="false">N5</f>
        <v>0</v>
      </c>
      <c r="R5" s="48" t="n">
        <f aca="false">M5</f>
        <v>0</v>
      </c>
      <c r="S5" s="39" t="n">
        <f aca="false">R5=B5</f>
        <v>1</v>
      </c>
    </row>
    <row r="6" s="46" customFormat="true" ht="13.5" hidden="false" customHeight="true" outlineLevel="0" collapsed="false">
      <c r="A6" s="44" t="s">
        <v>56</v>
      </c>
      <c r="B6" s="45" t="n">
        <f aca="false">B7+B8-B9</f>
        <v>0</v>
      </c>
      <c r="C6" s="45" t="n">
        <f aca="false">C7+C8-C9</f>
        <v>0</v>
      </c>
      <c r="D6" s="45" t="n">
        <f aca="false">D7+D8-D9</f>
        <v>0</v>
      </c>
      <c r="E6" s="45" t="n">
        <f aca="false">E7+E8-E9</f>
        <v>0</v>
      </c>
      <c r="F6" s="45" t="n">
        <f aca="false">F7+F8-F9</f>
        <v>0</v>
      </c>
      <c r="G6" s="45" t="n">
        <f aca="false">G7+G8-G9</f>
        <v>0</v>
      </c>
      <c r="H6" s="45" t="n">
        <f aca="false">H7+H8-H9</f>
        <v>0</v>
      </c>
      <c r="I6" s="45" t="n">
        <f aca="false">I7+I8-I9</f>
        <v>0</v>
      </c>
      <c r="J6" s="45" t="n">
        <f aca="false">J7+J8-J9</f>
        <v>0</v>
      </c>
      <c r="K6" s="45" t="n">
        <f aca="false">K7+K8-K9</f>
        <v>0</v>
      </c>
      <c r="L6" s="45" t="n">
        <f aca="false">L7+L8-L9</f>
        <v>0</v>
      </c>
      <c r="M6" s="45" t="n">
        <f aca="false">M7+M8-M9</f>
        <v>0</v>
      </c>
      <c r="N6" s="45" t="n">
        <f aca="false">N7+N8-N9</f>
        <v>0</v>
      </c>
      <c r="P6" s="496" t="n">
        <f aca="false">N6</f>
        <v>0</v>
      </c>
      <c r="Q6" s="496" t="n">
        <f aca="false">N6</f>
        <v>0</v>
      </c>
      <c r="R6" s="48" t="n">
        <f aca="false">SUM(C6:N6)</f>
        <v>0</v>
      </c>
      <c r="S6" s="46" t="n">
        <f aca="false">R6=B6</f>
        <v>1</v>
      </c>
    </row>
    <row r="7" customFormat="false" ht="11.25" hidden="false" customHeight="true" outlineLevel="0" collapsed="false">
      <c r="A7" s="50" t="s">
        <v>57</v>
      </c>
      <c r="B7" s="45" t="n">
        <f aca="false">C7:C7</f>
        <v>0</v>
      </c>
      <c r="C7" s="45" t="n">
        <v>0</v>
      </c>
      <c r="D7" s="45" t="n">
        <f aca="false">C9</f>
        <v>0</v>
      </c>
      <c r="E7" s="45" t="n">
        <f aca="false">D9</f>
        <v>0</v>
      </c>
      <c r="F7" s="45" t="n">
        <f aca="false">E9</f>
        <v>0</v>
      </c>
      <c r="G7" s="45" t="n">
        <f aca="false">F9</f>
        <v>0</v>
      </c>
      <c r="H7" s="45" t="n">
        <f aca="false">G9</f>
        <v>0</v>
      </c>
      <c r="I7" s="45" t="n">
        <f aca="false">H9</f>
        <v>0</v>
      </c>
      <c r="J7" s="45" t="n">
        <f aca="false">I9</f>
        <v>0</v>
      </c>
      <c r="K7" s="45" t="n">
        <f aca="false">J9</f>
        <v>0</v>
      </c>
      <c r="L7" s="45" t="n">
        <f aca="false">K9</f>
        <v>0</v>
      </c>
      <c r="M7" s="45" t="n">
        <f aca="false">L9</f>
        <v>0</v>
      </c>
      <c r="N7" s="45" t="n">
        <f aca="false">M9</f>
        <v>0</v>
      </c>
      <c r="P7" s="51" t="n">
        <f aca="false">N7</f>
        <v>0</v>
      </c>
      <c r="Q7" s="51" t="n">
        <f aca="false">N7</f>
        <v>0</v>
      </c>
      <c r="R7" s="48" t="n">
        <f aca="false">SUM(C7)</f>
        <v>0</v>
      </c>
      <c r="S7" s="39" t="n">
        <f aca="false">R7=B7</f>
        <v>1</v>
      </c>
    </row>
    <row r="8" customFormat="false" ht="11.25" hidden="false" customHeight="true" outlineLevel="0" collapsed="false">
      <c r="A8" s="50" t="s">
        <v>58</v>
      </c>
      <c r="B8" s="45" t="n">
        <f aca="false">SUM(C8:N8)</f>
        <v>0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P8" s="51" t="n">
        <f aca="false">N8</f>
        <v>0</v>
      </c>
      <c r="Q8" s="51" t="n">
        <f aca="false">N8</f>
        <v>0</v>
      </c>
      <c r="R8" s="48" t="n">
        <f aca="false">SUM(C8:E8)</f>
        <v>0</v>
      </c>
      <c r="S8" s="39" t="n">
        <f aca="false">R8=B8</f>
        <v>1</v>
      </c>
    </row>
    <row r="9" customFormat="false" ht="11.25" hidden="false" customHeight="true" outlineLevel="0" collapsed="false">
      <c r="A9" s="50" t="s">
        <v>59</v>
      </c>
      <c r="B9" s="45" t="n">
        <f aca="false">N9</f>
        <v>0</v>
      </c>
      <c r="C9" s="45"/>
      <c r="D9" s="45"/>
      <c r="E9" s="45"/>
      <c r="F9" s="45" t="n">
        <v>0</v>
      </c>
      <c r="G9" s="45"/>
      <c r="H9" s="45"/>
      <c r="I9" s="45"/>
      <c r="J9" s="45"/>
      <c r="K9" s="45"/>
      <c r="L9" s="45"/>
      <c r="M9" s="45"/>
      <c r="N9" s="45"/>
      <c r="P9" s="496" t="n">
        <f aca="false">N9</f>
        <v>0</v>
      </c>
      <c r="Q9" s="496" t="n">
        <f aca="false">N9</f>
        <v>0</v>
      </c>
      <c r="R9" s="48" t="n">
        <f aca="false">SUM(C9:N9)</f>
        <v>0</v>
      </c>
      <c r="S9" s="39" t="n">
        <f aca="false">R9=B9</f>
        <v>1</v>
      </c>
    </row>
    <row r="10" customFormat="false" ht="13.5" hidden="false" customHeight="true" outlineLevel="0" collapsed="false">
      <c r="A10" s="44" t="s">
        <v>60</v>
      </c>
      <c r="B10" s="45" t="n">
        <f aca="false">B11</f>
        <v>0</v>
      </c>
      <c r="C10" s="45" t="n">
        <f aca="false">C11</f>
        <v>0</v>
      </c>
      <c r="D10" s="45" t="n">
        <f aca="false">D11</f>
        <v>0</v>
      </c>
      <c r="E10" s="45" t="n">
        <f aca="false">E11</f>
        <v>0</v>
      </c>
      <c r="F10" s="45" t="n">
        <f aca="false">F11</f>
        <v>0</v>
      </c>
      <c r="G10" s="45" t="n">
        <f aca="false">G11</f>
        <v>0</v>
      </c>
      <c r="H10" s="45" t="n">
        <f aca="false">H11</f>
        <v>0</v>
      </c>
      <c r="I10" s="45" t="n">
        <f aca="false">I11</f>
        <v>0</v>
      </c>
      <c r="J10" s="45" t="n">
        <f aca="false">J11</f>
        <v>0</v>
      </c>
      <c r="K10" s="45" t="n">
        <f aca="false">K11</f>
        <v>0</v>
      </c>
      <c r="L10" s="45" t="n">
        <f aca="false">L11</f>
        <v>0</v>
      </c>
      <c r="M10" s="45" t="n">
        <f aca="false">M11</f>
        <v>0</v>
      </c>
      <c r="N10" s="45" t="n">
        <f aca="false">N11</f>
        <v>0</v>
      </c>
      <c r="P10" s="497" t="n">
        <f aca="false">N10</f>
        <v>0</v>
      </c>
      <c r="Q10" s="497" t="n">
        <f aca="false">N10</f>
        <v>0</v>
      </c>
      <c r="R10" s="48" t="n">
        <f aca="false">SUM(C10:N10)</f>
        <v>0</v>
      </c>
      <c r="S10" s="39" t="n">
        <f aca="false">R10=B10</f>
        <v>1</v>
      </c>
    </row>
    <row r="11" customFormat="false" ht="11.25" hidden="false" customHeight="true" outlineLevel="0" collapsed="false">
      <c r="A11" s="50" t="s">
        <v>61</v>
      </c>
      <c r="B11" s="45" t="n">
        <f aca="false">SUM(C11:N11)</f>
        <v>0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P11" s="51" t="n">
        <f aca="false">N11</f>
        <v>0</v>
      </c>
      <c r="Q11" s="51" t="n">
        <f aca="false">N11</f>
        <v>0</v>
      </c>
      <c r="R11" s="48" t="n">
        <f aca="false">SUM(C11:N11)</f>
        <v>0</v>
      </c>
      <c r="S11" s="39" t="n">
        <f aca="false">R11=B11</f>
        <v>1</v>
      </c>
    </row>
    <row r="12" customFormat="false" ht="13.5" hidden="false" customHeight="true" outlineLevel="0" collapsed="false">
      <c r="A12" s="44" t="s">
        <v>62</v>
      </c>
      <c r="B12" s="45" t="n">
        <f aca="false">SUM(B13:B19)</f>
        <v>0</v>
      </c>
      <c r="C12" s="45" t="n">
        <f aca="false">SUM(C13:C19)</f>
        <v>0</v>
      </c>
      <c r="D12" s="45" t="n">
        <f aca="false">SUM(D13:D19)</f>
        <v>0</v>
      </c>
      <c r="E12" s="45" t="n">
        <f aca="false">SUM(E13:E19)</f>
        <v>0</v>
      </c>
      <c r="F12" s="45" t="n">
        <f aca="false">SUM(F13:F19)</f>
        <v>0</v>
      </c>
      <c r="G12" s="45" t="n">
        <f aca="false">SUM(G13:G19)</f>
        <v>0</v>
      </c>
      <c r="H12" s="45" t="n">
        <f aca="false">SUM(H13:H19)</f>
        <v>0</v>
      </c>
      <c r="I12" s="45" t="n">
        <f aca="false">SUM(I13:I19)</f>
        <v>0</v>
      </c>
      <c r="J12" s="45" t="n">
        <f aca="false">SUM(J13:J19)</f>
        <v>0</v>
      </c>
      <c r="K12" s="45" t="n">
        <f aca="false">SUM(K13:K19)</f>
        <v>0</v>
      </c>
      <c r="L12" s="45" t="n">
        <f aca="false">SUM(L13:L19)</f>
        <v>0</v>
      </c>
      <c r="M12" s="45" t="n">
        <f aca="false">SUM(M13:M19)</f>
        <v>0</v>
      </c>
      <c r="N12" s="45" t="n">
        <f aca="false">SUM(N13:N19)</f>
        <v>0</v>
      </c>
      <c r="P12" s="497" t="n">
        <f aca="false">N12</f>
        <v>0</v>
      </c>
      <c r="Q12" s="497" t="n">
        <f aca="false">N12</f>
        <v>0</v>
      </c>
      <c r="R12" s="48" t="n">
        <f aca="false">SUM(C12:I12)</f>
        <v>0</v>
      </c>
      <c r="S12" s="39" t="n">
        <f aca="false">R12=B12</f>
        <v>1</v>
      </c>
    </row>
    <row r="13" customFormat="false" ht="11.25" hidden="false" customHeight="true" outlineLevel="0" collapsed="false">
      <c r="A13" s="50" t="s">
        <v>63</v>
      </c>
      <c r="B13" s="45" t="n">
        <f aca="false">SUM(C13:N13)</f>
        <v>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P13" s="51" t="n">
        <f aca="false">N13</f>
        <v>0</v>
      </c>
      <c r="Q13" s="51" t="n">
        <f aca="false">N13</f>
        <v>0</v>
      </c>
      <c r="R13" s="48" t="n">
        <f aca="false">SUM(C13:I13)</f>
        <v>0</v>
      </c>
      <c r="S13" s="39" t="n">
        <f aca="false">R13=B13</f>
        <v>1</v>
      </c>
    </row>
    <row r="14" customFormat="false" ht="11.25" hidden="false" customHeight="true" outlineLevel="0" collapsed="false">
      <c r="A14" s="50" t="s">
        <v>97</v>
      </c>
      <c r="B14" s="45" t="n">
        <f aca="false">SUM(C14:N14)</f>
        <v>0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P14" s="51" t="n">
        <f aca="false">N14</f>
        <v>0</v>
      </c>
      <c r="Q14" s="51" t="n">
        <f aca="false">N14</f>
        <v>0</v>
      </c>
      <c r="R14" s="48" t="n">
        <f aca="false">SUM(C14:I14)</f>
        <v>0</v>
      </c>
      <c r="S14" s="39" t="n">
        <f aca="false">R14=B14</f>
        <v>1</v>
      </c>
    </row>
    <row r="15" customFormat="false" ht="11.25" hidden="false" customHeight="true" outlineLevel="0" collapsed="false">
      <c r="A15" s="50" t="s">
        <v>65</v>
      </c>
      <c r="B15" s="45" t="n">
        <f aca="false">SUM(C15:N15)</f>
        <v>0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P15" s="51" t="n">
        <f aca="false">N15</f>
        <v>0</v>
      </c>
      <c r="Q15" s="51" t="n">
        <f aca="false">N15</f>
        <v>0</v>
      </c>
      <c r="R15" s="48" t="n">
        <f aca="false">SUM(C15:I15)</f>
        <v>0</v>
      </c>
      <c r="S15" s="39" t="n">
        <f aca="false">R15=B15</f>
        <v>1</v>
      </c>
    </row>
    <row r="16" customFormat="false" ht="11.25" hidden="false" customHeight="true" outlineLevel="0" collapsed="false">
      <c r="A16" s="50" t="s">
        <v>66</v>
      </c>
      <c r="B16" s="45" t="n">
        <f aca="false">SUM(C16:N16)</f>
        <v>0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P16" s="51" t="n">
        <f aca="false">N16</f>
        <v>0</v>
      </c>
      <c r="Q16" s="51" t="n">
        <f aca="false">N16</f>
        <v>0</v>
      </c>
      <c r="R16" s="48" t="n">
        <f aca="false">SUM(C16:I16)</f>
        <v>0</v>
      </c>
      <c r="S16" s="39" t="n">
        <f aca="false">R16=B16</f>
        <v>1</v>
      </c>
    </row>
    <row r="17" customFormat="false" ht="11.25" hidden="false" customHeight="true" outlineLevel="0" collapsed="false">
      <c r="A17" s="50" t="s">
        <v>67</v>
      </c>
      <c r="B17" s="45" t="n">
        <f aca="false">SUM(C17:N17)</f>
        <v>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P17" s="51" t="n">
        <f aca="false">N17</f>
        <v>0</v>
      </c>
      <c r="Q17" s="51" t="n">
        <f aca="false">N17</f>
        <v>0</v>
      </c>
      <c r="R17" s="48" t="n">
        <f aca="false">SUM(C17:I17)</f>
        <v>0</v>
      </c>
      <c r="S17" s="39" t="n">
        <f aca="false">R17=B17</f>
        <v>1</v>
      </c>
    </row>
    <row r="18" customFormat="false" ht="11.25" hidden="false" customHeight="true" outlineLevel="0" collapsed="false">
      <c r="A18" s="50" t="s">
        <v>68</v>
      </c>
      <c r="B18" s="45" t="n">
        <f aca="false">SUM(C18:N18)</f>
        <v>0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P18" s="51" t="n">
        <f aca="false">N18</f>
        <v>0</v>
      </c>
      <c r="Q18" s="51" t="n">
        <f aca="false">N18</f>
        <v>0</v>
      </c>
      <c r="R18" s="48" t="n">
        <f aca="false">SUM(C18:I18)</f>
        <v>0</v>
      </c>
      <c r="S18" s="39" t="n">
        <f aca="false">R18=B18</f>
        <v>1</v>
      </c>
    </row>
    <row r="19" customFormat="false" ht="11.25" hidden="false" customHeight="true" outlineLevel="0" collapsed="false">
      <c r="A19" s="50" t="s">
        <v>69</v>
      </c>
      <c r="B19" s="45" t="n">
        <f aca="false">SUM(C19:N19)</f>
        <v>0</v>
      </c>
      <c r="C19" s="45"/>
      <c r="D19" s="52"/>
      <c r="E19" s="45"/>
      <c r="F19" s="45"/>
      <c r="G19" s="45"/>
      <c r="H19" s="45"/>
      <c r="I19" s="45"/>
      <c r="J19" s="45"/>
      <c r="K19" s="45"/>
      <c r="L19" s="45"/>
      <c r="M19" s="45"/>
      <c r="N19" s="45"/>
      <c r="P19" s="51" t="n">
        <f aca="false">N19</f>
        <v>0</v>
      </c>
      <c r="Q19" s="51" t="n">
        <f aca="false">N19</f>
        <v>0</v>
      </c>
      <c r="R19" s="48" t="n">
        <f aca="false">SUM(C19:I19)</f>
        <v>0</v>
      </c>
      <c r="S19" s="39" t="n">
        <f aca="false">R19=B19</f>
        <v>1</v>
      </c>
    </row>
    <row r="20" customFormat="false" ht="13.5" hidden="false" customHeight="true" outlineLevel="0" collapsed="false">
      <c r="A20" s="44" t="s">
        <v>70</v>
      </c>
      <c r="B20" s="45" t="n">
        <f aca="false">SUM(C20:N20)</f>
        <v>0</v>
      </c>
      <c r="C20" s="45" t="n">
        <f aca="false">C2+C6+C10+C12</f>
        <v>0</v>
      </c>
      <c r="D20" s="45" t="n">
        <f aca="false">D2+D6+D10+D12</f>
        <v>0</v>
      </c>
      <c r="E20" s="45" t="n">
        <f aca="false">E2+E6+E10+E12</f>
        <v>0</v>
      </c>
      <c r="F20" s="45" t="n">
        <f aca="false">F2+F6+F10+F12</f>
        <v>0</v>
      </c>
      <c r="G20" s="45" t="n">
        <f aca="false">G2+G6+G10+G12</f>
        <v>0</v>
      </c>
      <c r="H20" s="45" t="n">
        <f aca="false">H2+H6+H10+H12</f>
        <v>0</v>
      </c>
      <c r="I20" s="45" t="n">
        <f aca="false">I2+I6+I10+I12</f>
        <v>0</v>
      </c>
      <c r="J20" s="45" t="n">
        <f aca="false">J2+J6+J10+J12</f>
        <v>0</v>
      </c>
      <c r="K20" s="45" t="n">
        <f aca="false">K2+K6+K10+K12</f>
        <v>0</v>
      </c>
      <c r="L20" s="45" t="n">
        <f aca="false">L2+L6+L10+L12</f>
        <v>0</v>
      </c>
      <c r="M20" s="45" t="n">
        <f aca="false">M2+M6+M10+M12</f>
        <v>0</v>
      </c>
      <c r="N20" s="45" t="n">
        <f aca="false">N2+N6+N10+N12</f>
        <v>0</v>
      </c>
      <c r="P20" s="51" t="n">
        <f aca="false">N20</f>
        <v>0</v>
      </c>
      <c r="Q20" s="51" t="n">
        <f aca="false">N20</f>
        <v>0</v>
      </c>
      <c r="R20" s="48" t="n">
        <f aca="false">SUM(C20:M20)</f>
        <v>0</v>
      </c>
      <c r="S20" s="39" t="n">
        <f aca="false">R20=B20</f>
        <v>1</v>
      </c>
    </row>
    <row r="21" customFormat="false" ht="13.5" hidden="false" customHeight="true" outlineLevel="0" collapsed="false">
      <c r="A21" s="44" t="s">
        <v>71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P21" s="51" t="n">
        <f aca="false">N21</f>
        <v>0</v>
      </c>
      <c r="Q21" s="51" t="n">
        <f aca="false">N21</f>
        <v>0</v>
      </c>
      <c r="R21" s="48" t="n">
        <f aca="false">SUM(C21:M21)</f>
        <v>0</v>
      </c>
      <c r="S21" s="39" t="n">
        <f aca="false">R21=B21</f>
        <v>1</v>
      </c>
    </row>
    <row r="22" customFormat="false" ht="13.5" hidden="false" customHeight="true" outlineLevel="0" collapsed="false">
      <c r="A22" s="44" t="s">
        <v>72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P22" s="51" t="n">
        <f aca="false">N22</f>
        <v>0</v>
      </c>
      <c r="Q22" s="51" t="n">
        <f aca="false">N22</f>
        <v>0</v>
      </c>
      <c r="R22" s="48" t="n">
        <f aca="false">SUM(C22:M22)</f>
        <v>0</v>
      </c>
      <c r="S22" s="39" t="n">
        <f aca="false">R22=B22</f>
        <v>1</v>
      </c>
    </row>
    <row r="23" customFormat="false" ht="13.5" hidden="false" customHeight="true" outlineLevel="0" collapsed="false">
      <c r="A23" s="44" t="s">
        <v>73</v>
      </c>
      <c r="B23" s="45" t="n">
        <f aca="false">SUM(C23:N23)</f>
        <v>0</v>
      </c>
      <c r="C23" s="45" t="n">
        <f aca="false">C20</f>
        <v>0</v>
      </c>
      <c r="D23" s="45" t="n">
        <f aca="false">D20</f>
        <v>0</v>
      </c>
      <c r="E23" s="45" t="n">
        <f aca="false">E20</f>
        <v>0</v>
      </c>
      <c r="F23" s="45" t="n">
        <f aca="false">F20</f>
        <v>0</v>
      </c>
      <c r="G23" s="45" t="n">
        <f aca="false">G20</f>
        <v>0</v>
      </c>
      <c r="H23" s="45" t="n">
        <f aca="false">H20</f>
        <v>0</v>
      </c>
      <c r="I23" s="45" t="n">
        <f aca="false">I20</f>
        <v>0</v>
      </c>
      <c r="J23" s="45" t="n">
        <f aca="false">J20</f>
        <v>0</v>
      </c>
      <c r="K23" s="45" t="n">
        <f aca="false">K20</f>
        <v>0</v>
      </c>
      <c r="L23" s="45" t="n">
        <f aca="false">L20</f>
        <v>0</v>
      </c>
      <c r="M23" s="45" t="n">
        <f aca="false">M20</f>
        <v>0</v>
      </c>
      <c r="N23" s="45" t="n">
        <f aca="false">N20</f>
        <v>0</v>
      </c>
      <c r="P23" s="51" t="n">
        <f aca="false">N23</f>
        <v>0</v>
      </c>
      <c r="Q23" s="51" t="n">
        <f aca="false">N23</f>
        <v>0</v>
      </c>
      <c r="R23" s="48" t="n">
        <f aca="false">SUM(C23:M23)</f>
        <v>0</v>
      </c>
      <c r="S23" s="39" t="n">
        <f aca="false">R23=B23</f>
        <v>1</v>
      </c>
    </row>
    <row r="24" customFormat="false" ht="13.5" hidden="false" customHeight="true" outlineLevel="0" collapsed="false">
      <c r="A24" s="44" t="s">
        <v>74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P24" s="51" t="n">
        <f aca="false">N24</f>
        <v>0</v>
      </c>
      <c r="Q24" s="51" t="n">
        <f aca="false">N24</f>
        <v>0</v>
      </c>
      <c r="R24" s="48" t="n">
        <f aca="false">SUM(C24:M24)</f>
        <v>0</v>
      </c>
      <c r="S24" s="39" t="n">
        <f aca="false">R24=B24</f>
        <v>1</v>
      </c>
    </row>
    <row r="25" customFormat="false" ht="13.5" hidden="false" customHeight="true" outlineLevel="0" collapsed="false">
      <c r="A25" s="44" t="s">
        <v>75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P25" s="51" t="n">
        <f aca="false">N25</f>
        <v>0</v>
      </c>
      <c r="Q25" s="51" t="n">
        <f aca="false">N25</f>
        <v>0</v>
      </c>
      <c r="R25" s="48" t="n">
        <f aca="false">SUM(C25:M25)</f>
        <v>0</v>
      </c>
      <c r="S25" s="39" t="n">
        <f aca="false">R25=B25</f>
        <v>1</v>
      </c>
    </row>
    <row r="26" customFormat="false" ht="13.5" hidden="false" customHeight="true" outlineLevel="0" collapsed="false">
      <c r="A26" s="44" t="s">
        <v>76</v>
      </c>
      <c r="B26" s="45" t="n">
        <f aca="false">SUM(C26:N26)</f>
        <v>0</v>
      </c>
      <c r="C26" s="45" t="n">
        <f aca="false">C23</f>
        <v>0</v>
      </c>
      <c r="D26" s="45" t="n">
        <f aca="false">D23</f>
        <v>0</v>
      </c>
      <c r="E26" s="45" t="n">
        <f aca="false">E23</f>
        <v>0</v>
      </c>
      <c r="F26" s="45" t="n">
        <f aca="false">F23</f>
        <v>0</v>
      </c>
      <c r="G26" s="45" t="n">
        <f aca="false">G23</f>
        <v>0</v>
      </c>
      <c r="H26" s="45" t="n">
        <f aca="false">H23</f>
        <v>0</v>
      </c>
      <c r="I26" s="45" t="n">
        <f aca="false">I23</f>
        <v>0</v>
      </c>
      <c r="J26" s="45" t="n">
        <f aca="false">J23</f>
        <v>0</v>
      </c>
      <c r="K26" s="45" t="n">
        <f aca="false">K23</f>
        <v>0</v>
      </c>
      <c r="L26" s="45" t="n">
        <f aca="false">L23</f>
        <v>0</v>
      </c>
      <c r="M26" s="45" t="n">
        <f aca="false">M23</f>
        <v>0</v>
      </c>
      <c r="N26" s="45" t="n">
        <f aca="false">N23</f>
        <v>0</v>
      </c>
      <c r="P26" s="51" t="n">
        <f aca="false">N26</f>
        <v>0</v>
      </c>
      <c r="Q26" s="51" t="n">
        <f aca="false">N26</f>
        <v>0</v>
      </c>
      <c r="R26" s="48" t="n">
        <f aca="false">SUM(C26:M26)</f>
        <v>0</v>
      </c>
      <c r="S26" s="39" t="n">
        <f aca="false">R26=B26</f>
        <v>1</v>
      </c>
    </row>
    <row r="27" customFormat="false" ht="11.25" hidden="false" customHeight="true" outlineLevel="0" collapsed="false"/>
    <row r="28" customFormat="false" ht="11.25" hidden="false" customHeight="true" outlineLevel="0" collapsed="false"/>
    <row r="29" customFormat="false" ht="11.25" hidden="false" customHeight="true" outlineLevel="0" collapsed="false"/>
    <row r="30" customFormat="false" ht="11.25" hidden="false" customHeight="true" outlineLevel="0" collapsed="false">
      <c r="C30" s="49"/>
    </row>
    <row r="31" customFormat="false" ht="18" hidden="false" customHeight="true" outlineLevel="0" collapsed="false">
      <c r="A31" s="40" t="s">
        <v>36</v>
      </c>
      <c r="B31" s="40" t="s">
        <v>37</v>
      </c>
      <c r="C31" s="42" t="s">
        <v>377</v>
      </c>
      <c r="D31" s="42" t="s">
        <v>378</v>
      </c>
      <c r="E31" s="42" t="s">
        <v>379</v>
      </c>
      <c r="F31" s="42" t="s">
        <v>380</v>
      </c>
      <c r="G31" s="42" t="s">
        <v>381</v>
      </c>
      <c r="H31" s="42" t="s">
        <v>382</v>
      </c>
      <c r="I31" s="42" t="s">
        <v>383</v>
      </c>
      <c r="J31" s="42" t="s">
        <v>384</v>
      </c>
      <c r="K31" s="42" t="s">
        <v>385</v>
      </c>
      <c r="L31" s="42" t="s">
        <v>386</v>
      </c>
      <c r="M31" s="42" t="s">
        <v>387</v>
      </c>
      <c r="N31" s="42" t="s">
        <v>388</v>
      </c>
      <c r="P31" s="43" t="s">
        <v>50</v>
      </c>
      <c r="Q31" s="43" t="s">
        <v>389</v>
      </c>
      <c r="R31" s="43" t="s">
        <v>51</v>
      </c>
    </row>
    <row r="32" customFormat="false" ht="13.5" hidden="false" customHeight="true" outlineLevel="0" collapsed="false">
      <c r="A32" s="44" t="s">
        <v>77</v>
      </c>
      <c r="B32" s="45" t="n">
        <f aca="false">SUM(C32:N32)</f>
        <v>5604168480</v>
      </c>
      <c r="C32" s="45" t="n">
        <f aca="false">SUM(C33:C36)</f>
        <v>271823173</v>
      </c>
      <c r="D32" s="45" t="n">
        <f aca="false">SUM(D33:D36)</f>
        <v>176676557</v>
      </c>
      <c r="E32" s="45" t="n">
        <f aca="false">SUM(E33:E36)</f>
        <v>369607483</v>
      </c>
      <c r="F32" s="45" t="n">
        <f aca="false">SUM(F33:F36)</f>
        <v>765435436</v>
      </c>
      <c r="G32" s="45" t="n">
        <f aca="false">SUM(G33:G36)</f>
        <v>580761228</v>
      </c>
      <c r="H32" s="45" t="n">
        <f aca="false">SUM(H33:H36)</f>
        <v>249553187</v>
      </c>
      <c r="I32" s="45" t="n">
        <f aca="false">SUM(I33:I36)</f>
        <v>373480806</v>
      </c>
      <c r="J32" s="45" t="n">
        <f aca="false">SUM(J33:J36)</f>
        <v>368549721</v>
      </c>
      <c r="K32" s="45" t="n">
        <f aca="false">SUM(K33:K36)</f>
        <v>240975865</v>
      </c>
      <c r="L32" s="45" t="n">
        <f aca="false">SUM(L33:L36)</f>
        <v>1000747691</v>
      </c>
      <c r="M32" s="45" t="n">
        <f aca="false">SUM(M33:M36)</f>
        <v>1006991302</v>
      </c>
      <c r="N32" s="45" t="n">
        <f aca="false">SUM(N33:N36)</f>
        <v>199566031</v>
      </c>
      <c r="O32" s="49"/>
      <c r="P32" s="51" t="n">
        <f aca="false">I32</f>
        <v>373480806</v>
      </c>
      <c r="Q32" s="51" t="n">
        <f aca="false">J32</f>
        <v>368549721</v>
      </c>
      <c r="R32" s="48" t="n">
        <f aca="false">SUM(C32:I32)</f>
        <v>2787337870</v>
      </c>
      <c r="S32" s="39" t="n">
        <f aca="false">R32=B32</f>
        <v>0</v>
      </c>
    </row>
    <row r="33" customFormat="false" ht="11.25" hidden="false" customHeight="true" outlineLevel="0" collapsed="false">
      <c r="A33" s="50" t="s">
        <v>78</v>
      </c>
      <c r="B33" s="45" t="n">
        <f aca="false">SUM(C33:N33)</f>
        <v>4115236653</v>
      </c>
      <c r="C33" s="45" t="n">
        <v>131397458</v>
      </c>
      <c r="D33" s="45" t="n">
        <v>107548427</v>
      </c>
      <c r="E33" s="45" t="n">
        <v>258439384</v>
      </c>
      <c r="F33" s="45" t="n">
        <v>562537761</v>
      </c>
      <c r="G33" s="45" t="n">
        <v>350607241</v>
      </c>
      <c r="H33" s="45" t="n">
        <v>183167187</v>
      </c>
      <c r="I33" s="45" t="n">
        <v>199412032</v>
      </c>
      <c r="J33" s="45" t="n">
        <v>81524251</v>
      </c>
      <c r="K33" s="45" t="n">
        <v>241089133</v>
      </c>
      <c r="L33" s="45" t="n">
        <v>855549091</v>
      </c>
      <c r="M33" s="45" t="n">
        <v>944398657</v>
      </c>
      <c r="N33" s="53" t="n">
        <v>199566031</v>
      </c>
      <c r="O33" s="49"/>
      <c r="P33" s="51" t="n">
        <f aca="false">I33</f>
        <v>199412032</v>
      </c>
      <c r="Q33" s="51" t="n">
        <f aca="false">J33</f>
        <v>81524251</v>
      </c>
      <c r="R33" s="51" t="n">
        <f aca="false">SUM(C33:I33)</f>
        <v>1793109490</v>
      </c>
      <c r="S33" s="39" t="n">
        <f aca="false">R33=B33</f>
        <v>0</v>
      </c>
    </row>
    <row r="34" customFormat="false" ht="11.25" hidden="false" customHeight="true" outlineLevel="0" collapsed="false">
      <c r="A34" s="50" t="s">
        <v>79</v>
      </c>
      <c r="B34" s="45" t="n">
        <f aca="false">SUM(C34:N34)</f>
        <v>1488931827</v>
      </c>
      <c r="C34" s="45" t="n">
        <v>140425715</v>
      </c>
      <c r="D34" s="45" t="n">
        <v>69128130</v>
      </c>
      <c r="E34" s="45" t="n">
        <v>111168099</v>
      </c>
      <c r="F34" s="45" t="n">
        <v>202897675</v>
      </c>
      <c r="G34" s="45" t="n">
        <v>230153987</v>
      </c>
      <c r="H34" s="45" t="n">
        <v>66386000</v>
      </c>
      <c r="I34" s="45" t="n">
        <v>174068774</v>
      </c>
      <c r="J34" s="45" t="n">
        <v>287025470</v>
      </c>
      <c r="K34" s="45" t="n">
        <v>-113268</v>
      </c>
      <c r="L34" s="45" t="n">
        <v>145198600</v>
      </c>
      <c r="M34" s="45" t="n">
        <v>62592645</v>
      </c>
      <c r="N34" s="53"/>
      <c r="O34" s="49"/>
      <c r="P34" s="51" t="n">
        <f aca="false">I34</f>
        <v>174068774</v>
      </c>
      <c r="Q34" s="51" t="n">
        <f aca="false">J34</f>
        <v>287025470</v>
      </c>
      <c r="R34" s="51" t="n">
        <f aca="false">SUM(C34:I34)</f>
        <v>994228380</v>
      </c>
      <c r="S34" s="39" t="n">
        <f aca="false">R34=B34</f>
        <v>0</v>
      </c>
    </row>
    <row r="35" customFormat="false" ht="11.25" hidden="false" customHeight="true" outlineLevel="0" collapsed="false">
      <c r="A35" s="50" t="s">
        <v>80</v>
      </c>
      <c r="B35" s="45" t="n">
        <f aca="false">SUM(C35:N35)</f>
        <v>0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53"/>
      <c r="O35" s="49"/>
      <c r="P35" s="51" t="n">
        <f aca="false">I35</f>
        <v>0</v>
      </c>
      <c r="Q35" s="51" t="n">
        <f aca="false">J35</f>
        <v>0</v>
      </c>
      <c r="R35" s="51" t="n">
        <f aca="false">SUM(C35:I35)</f>
        <v>0</v>
      </c>
    </row>
    <row r="36" customFormat="false" ht="11.25" hidden="false" customHeight="true" outlineLevel="0" collapsed="false">
      <c r="A36" s="50" t="s">
        <v>81</v>
      </c>
      <c r="B36" s="45" t="n">
        <f aca="false">SUM(C36:N36)</f>
        <v>0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9"/>
      <c r="P36" s="51" t="n">
        <f aca="false">I36</f>
        <v>0</v>
      </c>
      <c r="Q36" s="51" t="n">
        <f aca="false">J36</f>
        <v>0</v>
      </c>
      <c r="R36" s="51" t="n">
        <f aca="false">SUM(C36:I36)</f>
        <v>0</v>
      </c>
      <c r="S36" s="39" t="n">
        <f aca="false">R36=B36</f>
        <v>1</v>
      </c>
    </row>
    <row r="37" customFormat="false" ht="13.5" hidden="false" customHeight="true" outlineLevel="0" collapsed="false">
      <c r="A37" s="44" t="s">
        <v>82</v>
      </c>
      <c r="B37" s="45" t="n">
        <f aca="false">SUM(C37:N37)</f>
        <v>6136760929</v>
      </c>
      <c r="C37" s="45" t="n">
        <f aca="false">C38+C42</f>
        <v>267318464</v>
      </c>
      <c r="D37" s="59" t="n">
        <f aca="false">D38+D42</f>
        <v>184678067</v>
      </c>
      <c r="E37" s="45" t="n">
        <f aca="false">E38+E42</f>
        <v>367096678</v>
      </c>
      <c r="F37" s="45" t="n">
        <f aca="false">F38+F42</f>
        <v>748535392</v>
      </c>
      <c r="G37" s="45" t="n">
        <f aca="false">G38+G42</f>
        <v>592105514</v>
      </c>
      <c r="H37" s="45" t="n">
        <f aca="false">H38+H42</f>
        <v>205624625</v>
      </c>
      <c r="I37" s="45" t="n">
        <f aca="false">I38+I42</f>
        <v>360619694</v>
      </c>
      <c r="J37" s="45" t="n">
        <f aca="false">J38+J42</f>
        <v>358818743</v>
      </c>
      <c r="K37" s="45" t="n">
        <f aca="false">K38+K42</f>
        <v>253901110</v>
      </c>
      <c r="L37" s="45" t="n">
        <f aca="false">L38+L42</f>
        <v>974669125</v>
      </c>
      <c r="M37" s="45" t="n">
        <f aca="false">M38+M42</f>
        <v>955487717</v>
      </c>
      <c r="N37" s="45" t="n">
        <f aca="false">N38+N42</f>
        <v>867905800</v>
      </c>
      <c r="O37" s="49"/>
      <c r="P37" s="51" t="n">
        <f aca="false">I37</f>
        <v>360619694</v>
      </c>
      <c r="Q37" s="51" t="n">
        <f aca="false">J37</f>
        <v>358818743</v>
      </c>
      <c r="R37" s="51" t="n">
        <f aca="false">SUM(C37:I37)</f>
        <v>2725978434</v>
      </c>
      <c r="S37" s="39" t="n">
        <f aca="false">R37=B37</f>
        <v>0</v>
      </c>
    </row>
    <row r="38" customFormat="false" ht="11.25" hidden="false" customHeight="true" outlineLevel="0" collapsed="false">
      <c r="A38" s="50" t="s">
        <v>83</v>
      </c>
      <c r="B38" s="45" t="n">
        <f aca="false">B39+B40-B41</f>
        <v>4466891913</v>
      </c>
      <c r="C38" s="45" t="n">
        <f aca="false">C39+C40-C41</f>
        <v>131272864</v>
      </c>
      <c r="D38" s="45" t="n">
        <f aca="false">D39+D40-D41</f>
        <v>116119227</v>
      </c>
      <c r="E38" s="45" t="n">
        <f aca="false">E39+E40-E41</f>
        <v>258187003</v>
      </c>
      <c r="F38" s="45" t="n">
        <f aca="false">F39+F40-F41</f>
        <v>569104326</v>
      </c>
      <c r="G38" s="45" t="n">
        <f aca="false">G39+G40-G41</f>
        <v>373989737</v>
      </c>
      <c r="H38" s="45" t="n">
        <f aca="false">H39+H40-H41</f>
        <v>180385169</v>
      </c>
      <c r="I38" s="45" t="n">
        <f aca="false">I39+I40-I41</f>
        <v>191129425</v>
      </c>
      <c r="J38" s="45" t="n">
        <f aca="false">J39+J40-J41</f>
        <v>79494185</v>
      </c>
      <c r="K38" s="45" t="n">
        <f aca="false">K39+K40-K41</f>
        <v>254012591</v>
      </c>
      <c r="L38" s="45" t="n">
        <f aca="false">L39+L40-L41</f>
        <v>839831510</v>
      </c>
      <c r="M38" s="45" t="n">
        <f aca="false">M39+M40-M41</f>
        <v>894119293</v>
      </c>
      <c r="N38" s="45" t="n">
        <f aca="false">N39+N40-N41</f>
        <v>579246583</v>
      </c>
      <c r="O38" s="49"/>
      <c r="P38" s="51" t="n">
        <f aca="false">I38</f>
        <v>191129425</v>
      </c>
      <c r="Q38" s="51" t="n">
        <f aca="false">J38</f>
        <v>79494185</v>
      </c>
      <c r="R38" s="51" t="n">
        <f aca="false">SUM(C38:I38)</f>
        <v>1820187751</v>
      </c>
      <c r="S38" s="39" t="n">
        <f aca="false">R38=B38</f>
        <v>0</v>
      </c>
    </row>
    <row r="39" customFormat="false" ht="11.25" hidden="false" customHeight="true" outlineLevel="0" collapsed="false">
      <c r="A39" s="50" t="s">
        <v>84</v>
      </c>
      <c r="B39" s="45" t="n">
        <f aca="false">C39</f>
        <v>3171210759</v>
      </c>
      <c r="C39" s="45" t="n">
        <v>3171210759</v>
      </c>
      <c r="D39" s="45" t="n">
        <v>3039937895</v>
      </c>
      <c r="E39" s="45" t="n">
        <v>3066219186</v>
      </c>
      <c r="F39" s="45" t="n">
        <v>2933927779</v>
      </c>
      <c r="G39" s="45" t="n">
        <v>2585142331</v>
      </c>
      <c r="H39" s="45" t="n">
        <v>2250381524</v>
      </c>
      <c r="I39" s="45" t="n">
        <v>2278643287</v>
      </c>
      <c r="J39" s="45" t="n">
        <v>2089352116</v>
      </c>
      <c r="K39" s="45" t="n">
        <v>2103492336</v>
      </c>
      <c r="L39" s="45" t="n">
        <v>2019686921</v>
      </c>
      <c r="M39" s="45" t="n">
        <v>1775735426</v>
      </c>
      <c r="N39" s="53" t="n">
        <v>1668874198</v>
      </c>
      <c r="O39" s="49"/>
      <c r="P39" s="51" t="n">
        <f aca="false">I39</f>
        <v>2278643287</v>
      </c>
      <c r="Q39" s="51" t="n">
        <f aca="false">J39</f>
        <v>2089352116</v>
      </c>
      <c r="R39" s="49" t="n">
        <f aca="false">SUM(C39)</f>
        <v>3171210759</v>
      </c>
      <c r="S39" s="39" t="n">
        <f aca="false">R39=B39</f>
        <v>1</v>
      </c>
    </row>
    <row r="40" customFormat="false" ht="11.25" hidden="false" customHeight="true" outlineLevel="0" collapsed="false">
      <c r="A40" s="50" t="s">
        <v>85</v>
      </c>
      <c r="B40" s="45" t="n">
        <f aca="false">SUM(C40:N40)</f>
        <v>2385308769</v>
      </c>
      <c r="C40" s="45"/>
      <c r="D40" s="45" t="n">
        <v>142400518</v>
      </c>
      <c r="E40" s="45" t="n">
        <v>125895596</v>
      </c>
      <c r="F40" s="45" t="n">
        <v>220318878</v>
      </c>
      <c r="G40" s="45" t="n">
        <v>39228930</v>
      </c>
      <c r="H40" s="45" t="n">
        <v>208646932</v>
      </c>
      <c r="I40" s="45" t="n">
        <v>1838254</v>
      </c>
      <c r="J40" s="45" t="n">
        <v>93634405</v>
      </c>
      <c r="K40" s="45" t="n">
        <v>170207176</v>
      </c>
      <c r="L40" s="45" t="n">
        <v>595880015</v>
      </c>
      <c r="M40" s="45" t="n">
        <v>787258065</v>
      </c>
      <c r="N40" s="53"/>
      <c r="O40" s="49"/>
      <c r="P40" s="51" t="n">
        <f aca="false">I40</f>
        <v>1838254</v>
      </c>
      <c r="Q40" s="51" t="n">
        <f aca="false">J40</f>
        <v>93634405</v>
      </c>
      <c r="R40" s="51" t="n">
        <f aca="false">SUM(C40:I40)</f>
        <v>738329108</v>
      </c>
      <c r="S40" s="39" t="n">
        <f aca="false">R40=B40</f>
        <v>0</v>
      </c>
    </row>
    <row r="41" customFormat="false" ht="11.25" hidden="false" customHeight="true" outlineLevel="0" collapsed="false">
      <c r="A41" s="50" t="s">
        <v>87</v>
      </c>
      <c r="B41" s="45" t="n">
        <f aca="false">N41</f>
        <v>1089627615</v>
      </c>
      <c r="C41" s="45" t="n">
        <v>3039937895</v>
      </c>
      <c r="D41" s="45" t="n">
        <v>3066219186</v>
      </c>
      <c r="E41" s="45" t="n">
        <v>2933927779</v>
      </c>
      <c r="F41" s="45" t="n">
        <v>2585142331</v>
      </c>
      <c r="G41" s="45" t="n">
        <v>2250381524</v>
      </c>
      <c r="H41" s="45" t="n">
        <v>2278643287</v>
      </c>
      <c r="I41" s="45" t="n">
        <v>2089352116</v>
      </c>
      <c r="J41" s="45" t="n">
        <v>2103492336</v>
      </c>
      <c r="K41" s="45" t="n">
        <v>2019686921</v>
      </c>
      <c r="L41" s="45" t="n">
        <v>1775735426</v>
      </c>
      <c r="M41" s="45" t="n">
        <v>1668874198</v>
      </c>
      <c r="N41" s="53" t="n">
        <v>1089627615</v>
      </c>
      <c r="O41" s="49"/>
      <c r="P41" s="51" t="n">
        <f aca="false">I41</f>
        <v>2089352116</v>
      </c>
      <c r="Q41" s="51" t="n">
        <f aca="false">J41</f>
        <v>2103492336</v>
      </c>
      <c r="R41" s="49" t="n">
        <f aca="false">SUM(I41)</f>
        <v>2089352116</v>
      </c>
      <c r="S41" s="39" t="n">
        <f aca="false">R41=B41</f>
        <v>0</v>
      </c>
    </row>
    <row r="42" customFormat="false" ht="11.25" hidden="false" customHeight="true" outlineLevel="0" collapsed="false">
      <c r="A42" s="50" t="s">
        <v>88</v>
      </c>
      <c r="B42" s="45" t="n">
        <f aca="false">B43+B44-B45</f>
        <v>1669869016</v>
      </c>
      <c r="C42" s="45" t="n">
        <f aca="false">C43+C44-C45</f>
        <v>136045600</v>
      </c>
      <c r="D42" s="59" t="n">
        <f aca="false">D43+D44-D45</f>
        <v>68558840</v>
      </c>
      <c r="E42" s="45" t="n">
        <f aca="false">E43+E44-E45</f>
        <v>108909675</v>
      </c>
      <c r="F42" s="45" t="n">
        <f aca="false">F43+F44-F45</f>
        <v>179431066</v>
      </c>
      <c r="G42" s="45" t="n">
        <f aca="false">G43+G44-G45</f>
        <v>218115777</v>
      </c>
      <c r="H42" s="45" t="n">
        <f aca="false">H43+H44-H45</f>
        <v>25239456</v>
      </c>
      <c r="I42" s="45" t="n">
        <f aca="false">I43+I44-I45</f>
        <v>169490269</v>
      </c>
      <c r="J42" s="45" t="n">
        <f aca="false">J43+J44-J45</f>
        <v>279324558</v>
      </c>
      <c r="K42" s="45" t="n">
        <f aca="false">K43+K44-K45</f>
        <v>-111481</v>
      </c>
      <c r="L42" s="45" t="n">
        <f aca="false">L43+L44-L45</f>
        <v>134837615</v>
      </c>
      <c r="M42" s="45" t="n">
        <f aca="false">M43+M44-M45</f>
        <v>61368424</v>
      </c>
      <c r="N42" s="45" t="n">
        <f aca="false">N43+N44-N45</f>
        <v>288659217</v>
      </c>
      <c r="O42" s="49"/>
      <c r="P42" s="51" t="n">
        <f aca="false">I42</f>
        <v>169490269</v>
      </c>
      <c r="Q42" s="51" t="n">
        <f aca="false">J42</f>
        <v>279324558</v>
      </c>
      <c r="R42" s="51" t="n">
        <f aca="false">SUM(C42:I42)</f>
        <v>905790683</v>
      </c>
      <c r="S42" s="498" t="n">
        <f aca="false">R42=B42</f>
        <v>0</v>
      </c>
      <c r="T42" s="49" t="n">
        <f aca="false">R42-B42</f>
        <v>-764078333</v>
      </c>
    </row>
    <row r="43" customFormat="false" ht="11.25" hidden="false" customHeight="true" outlineLevel="0" collapsed="false">
      <c r="A43" s="57" t="s">
        <v>89</v>
      </c>
      <c r="B43" s="55" t="n">
        <f aca="false">C43</f>
        <v>751469884</v>
      </c>
      <c r="C43" s="55" t="n">
        <v>751469884</v>
      </c>
      <c r="D43" s="56" t="n">
        <v>683058611</v>
      </c>
      <c r="E43" s="55" t="n">
        <v>721161038</v>
      </c>
      <c r="F43" s="55" t="n">
        <v>668933119</v>
      </c>
      <c r="G43" s="55" t="n">
        <v>737609226</v>
      </c>
      <c r="H43" s="55" t="n">
        <v>582562241</v>
      </c>
      <c r="I43" s="45" t="n">
        <v>926507774</v>
      </c>
      <c r="J43" s="45" t="n">
        <v>884682925</v>
      </c>
      <c r="K43" s="55" t="n">
        <v>574072606</v>
      </c>
      <c r="L43" s="55" t="n">
        <v>699294546</v>
      </c>
      <c r="M43" s="55" t="n">
        <v>580981450</v>
      </c>
      <c r="N43" s="58" t="n">
        <v>519493449</v>
      </c>
      <c r="O43" s="49"/>
      <c r="P43" s="51" t="n">
        <f aca="false">I43</f>
        <v>926507774</v>
      </c>
      <c r="Q43" s="51" t="n">
        <f aca="false">J43</f>
        <v>884682925</v>
      </c>
      <c r="R43" s="49" t="n">
        <f aca="false">C43</f>
        <v>751469884</v>
      </c>
      <c r="S43" s="39" t="n">
        <f aca="false">R43=B43</f>
        <v>1</v>
      </c>
    </row>
    <row r="44" customFormat="false" ht="11.25" hidden="false" customHeight="true" outlineLevel="0" collapsed="false">
      <c r="A44" s="50" t="s">
        <v>90</v>
      </c>
      <c r="B44" s="45" t="n">
        <f aca="false">SUM(C44:N44)</f>
        <v>1149233364</v>
      </c>
      <c r="C44" s="45" t="n">
        <v>67634327</v>
      </c>
      <c r="D44" s="59" t="n">
        <v>106661267</v>
      </c>
      <c r="E44" s="59" t="n">
        <v>56681756</v>
      </c>
      <c r="F44" s="59" t="n">
        <v>248107173</v>
      </c>
      <c r="G44" s="59" t="n">
        <v>63068792</v>
      </c>
      <c r="H44" s="45" t="n">
        <v>369184989</v>
      </c>
      <c r="I44" s="45" t="n">
        <v>127665420</v>
      </c>
      <c r="J44" s="45" t="n">
        <v>-31285761</v>
      </c>
      <c r="K44" s="45" t="n">
        <v>125110459</v>
      </c>
      <c r="L44" s="45" t="n">
        <v>16524519</v>
      </c>
      <c r="M44" s="45" t="n">
        <v>-119577</v>
      </c>
      <c r="N44" s="45"/>
      <c r="O44" s="49"/>
      <c r="P44" s="51" t="n">
        <f aca="false">I44</f>
        <v>127665420</v>
      </c>
      <c r="Q44" s="51" t="n">
        <f aca="false">J44</f>
        <v>-31285761</v>
      </c>
      <c r="R44" s="51" t="n">
        <f aca="false">SUM(C44:I44)</f>
        <v>1039003724</v>
      </c>
      <c r="S44" s="39" t="n">
        <f aca="false">R44=B44</f>
        <v>0</v>
      </c>
    </row>
    <row r="45" customFormat="false" ht="11.25" hidden="false" customHeight="true" outlineLevel="0" collapsed="false">
      <c r="A45" s="50" t="s">
        <v>91</v>
      </c>
      <c r="B45" s="45" t="n">
        <f aca="false">N45</f>
        <v>230834232</v>
      </c>
      <c r="C45" s="45" t="n">
        <v>683058611</v>
      </c>
      <c r="D45" s="59" t="n">
        <v>721161038</v>
      </c>
      <c r="E45" s="45" t="n">
        <v>668933119</v>
      </c>
      <c r="F45" s="45" t="n">
        <v>737609226</v>
      </c>
      <c r="G45" s="45" t="n">
        <v>582562241</v>
      </c>
      <c r="H45" s="45" t="n">
        <v>926507774</v>
      </c>
      <c r="I45" s="45" t="n">
        <v>884682925</v>
      </c>
      <c r="J45" s="45" t="n">
        <v>574072606</v>
      </c>
      <c r="K45" s="45" t="n">
        <v>699294546</v>
      </c>
      <c r="L45" s="45" t="n">
        <v>580981450</v>
      </c>
      <c r="M45" s="55" t="n">
        <v>519493449</v>
      </c>
      <c r="N45" s="53" t="n">
        <v>230834232</v>
      </c>
      <c r="O45" s="49"/>
      <c r="P45" s="51" t="n">
        <f aca="false">I45</f>
        <v>884682925</v>
      </c>
      <c r="Q45" s="51" t="n">
        <f aca="false">J45</f>
        <v>574072606</v>
      </c>
      <c r="R45" s="49" t="n">
        <f aca="false">SUM(I45)</f>
        <v>884682925</v>
      </c>
      <c r="S45" s="39" t="n">
        <f aca="false">R45=B45</f>
        <v>0</v>
      </c>
    </row>
    <row r="46" customFormat="false" ht="14.25" hidden="false" customHeight="true" outlineLevel="0" collapsed="false">
      <c r="A46" s="44" t="s">
        <v>92</v>
      </c>
      <c r="B46" s="45" t="n">
        <f aca="false">SUM(C46:N46)</f>
        <v>-532592449</v>
      </c>
      <c r="C46" s="45" t="n">
        <f aca="false">C32-C37</f>
        <v>4504709</v>
      </c>
      <c r="D46" s="59" t="n">
        <f aca="false">D32-D37</f>
        <v>-8001510</v>
      </c>
      <c r="E46" s="45" t="n">
        <f aca="false">E32-E37</f>
        <v>2510805</v>
      </c>
      <c r="F46" s="45" t="n">
        <f aca="false">F32-F37</f>
        <v>16900044</v>
      </c>
      <c r="G46" s="45" t="n">
        <f aca="false">G32-G37</f>
        <v>-11344286</v>
      </c>
      <c r="H46" s="45" t="n">
        <f aca="false">H32-H37</f>
        <v>43928562</v>
      </c>
      <c r="I46" s="45" t="n">
        <f aca="false">I32-I37</f>
        <v>12861112</v>
      </c>
      <c r="J46" s="45" t="n">
        <f aca="false">J32-J37</f>
        <v>9730978</v>
      </c>
      <c r="K46" s="45" t="n">
        <f aca="false">K32-K37</f>
        <v>-12925245</v>
      </c>
      <c r="L46" s="45" t="n">
        <f aca="false">L32-L37</f>
        <v>26078566</v>
      </c>
      <c r="M46" s="45" t="n">
        <f aca="false">M32-M37</f>
        <v>51503585</v>
      </c>
      <c r="N46" s="45" t="n">
        <f aca="false">N32-N37</f>
        <v>-668339769</v>
      </c>
      <c r="O46" s="49"/>
      <c r="P46" s="51" t="n">
        <f aca="false">I46</f>
        <v>12861112</v>
      </c>
      <c r="Q46" s="51" t="n">
        <f aca="false">J46</f>
        <v>9730978</v>
      </c>
      <c r="R46" s="49" t="n">
        <f aca="false">SUM(C46:I46)</f>
        <v>61359436</v>
      </c>
      <c r="S46" s="39" t="n">
        <f aca="false">R46=B46</f>
        <v>0</v>
      </c>
    </row>
    <row r="47" customFormat="false" ht="14.25" hidden="false" customHeight="true" outlineLevel="0" collapsed="false">
      <c r="A47" s="44" t="s">
        <v>93</v>
      </c>
      <c r="B47" s="45" t="n">
        <f aca="false">SUM(C47:N47)</f>
        <v>545815430</v>
      </c>
      <c r="C47" s="45" t="n">
        <f aca="false">SUM(C48:C68)</f>
        <v>35255016</v>
      </c>
      <c r="D47" s="45" t="n">
        <f aca="false">SUM(D48:D68)</f>
        <v>33609799</v>
      </c>
      <c r="E47" s="45" t="n">
        <f aca="false">SUM(E48:E68)</f>
        <v>38035063</v>
      </c>
      <c r="F47" s="45" t="n">
        <f aca="false">SUM(F48:F68)</f>
        <v>53155936</v>
      </c>
      <c r="G47" s="45" t="n">
        <f aca="false">SUM(G48:G68)</f>
        <v>64880561</v>
      </c>
      <c r="H47" s="45" t="n">
        <f aca="false">SUM(H48:H68)</f>
        <v>43408842</v>
      </c>
      <c r="I47" s="45" t="n">
        <f aca="false">SUM(I48:I68)</f>
        <v>33415216</v>
      </c>
      <c r="J47" s="45" t="n">
        <f aca="false">SUM(J48:J68)</f>
        <v>30753271</v>
      </c>
      <c r="K47" s="45" t="n">
        <f aca="false">SUM(K48:K68)</f>
        <v>34008792</v>
      </c>
      <c r="L47" s="45" t="n">
        <f aca="false">SUM(L48:L68)</f>
        <v>61968397</v>
      </c>
      <c r="M47" s="45" t="n">
        <f aca="false">SUM(M48:M68)</f>
        <v>79578270</v>
      </c>
      <c r="N47" s="45" t="n">
        <f aca="false">SUM(N48:N68)</f>
        <v>37746267</v>
      </c>
      <c r="O47" s="49"/>
      <c r="P47" s="51" t="n">
        <f aca="false">I47</f>
        <v>33415216</v>
      </c>
      <c r="Q47" s="51" t="n">
        <f aca="false">J47</f>
        <v>30753271</v>
      </c>
      <c r="R47" s="49" t="n">
        <f aca="false">SUM(C47:I47)</f>
        <v>301760433</v>
      </c>
      <c r="S47" s="39" t="n">
        <f aca="false">R47=B47</f>
        <v>0</v>
      </c>
    </row>
    <row r="48" customFormat="false" ht="11.25" hidden="false" customHeight="true" outlineLevel="0" collapsed="false">
      <c r="A48" s="57" t="s">
        <v>94</v>
      </c>
      <c r="B48" s="55" t="n">
        <f aca="false">SUM(C48:N48)</f>
        <v>278208530</v>
      </c>
      <c r="C48" s="55" t="n">
        <v>23083350</v>
      </c>
      <c r="D48" s="55" t="n">
        <v>23083350</v>
      </c>
      <c r="E48" s="55" t="n">
        <v>23188350</v>
      </c>
      <c r="F48" s="55" t="n">
        <v>23188350</v>
      </c>
      <c r="G48" s="55" t="n">
        <v>23188350</v>
      </c>
      <c r="H48" s="55" t="n">
        <v>23188350</v>
      </c>
      <c r="I48" s="55" t="n">
        <v>24013350</v>
      </c>
      <c r="J48" s="55" t="n">
        <v>23438350</v>
      </c>
      <c r="K48" s="55" t="n">
        <v>23438350</v>
      </c>
      <c r="L48" s="55" t="n">
        <v>23438350</v>
      </c>
      <c r="M48" s="55" t="n">
        <v>23438350</v>
      </c>
      <c r="N48" s="55" t="n">
        <v>21521680</v>
      </c>
      <c r="O48" s="49"/>
      <c r="P48" s="51" t="n">
        <f aca="false">I48</f>
        <v>24013350</v>
      </c>
      <c r="Q48" s="51" t="n">
        <f aca="false">J48</f>
        <v>23438350</v>
      </c>
      <c r="R48" s="49" t="n">
        <f aca="false">SUM(C48:I48)</f>
        <v>162933450</v>
      </c>
      <c r="S48" s="39" t="n">
        <f aca="false">R48=B48</f>
        <v>0</v>
      </c>
    </row>
    <row r="49" customFormat="false" ht="11.25" hidden="false" customHeight="true" outlineLevel="0" collapsed="false">
      <c r="A49" s="50" t="s">
        <v>95</v>
      </c>
      <c r="B49" s="45" t="n">
        <f aca="false">SUM(C49:N49)</f>
        <v>5600000</v>
      </c>
      <c r="C49" s="45" t="n">
        <v>1000000</v>
      </c>
      <c r="D49" s="45" t="n">
        <v>1000000</v>
      </c>
      <c r="E49" s="45"/>
      <c r="F49" s="45"/>
      <c r="G49" s="45"/>
      <c r="H49" s="45"/>
      <c r="I49" s="45" t="n">
        <v>1600000</v>
      </c>
      <c r="J49" s="45"/>
      <c r="K49" s="45"/>
      <c r="L49" s="45" t="n">
        <v>2000000</v>
      </c>
      <c r="M49" s="45"/>
      <c r="N49" s="45"/>
      <c r="O49" s="49"/>
      <c r="P49" s="51" t="n">
        <f aca="false">I49</f>
        <v>1600000</v>
      </c>
      <c r="Q49" s="51" t="n">
        <f aca="false">J49</f>
        <v>0</v>
      </c>
      <c r="R49" s="49" t="n">
        <f aca="false">SUM(C49:I49)</f>
        <v>3600000</v>
      </c>
      <c r="S49" s="39" t="n">
        <f aca="false">R49=B49</f>
        <v>0</v>
      </c>
    </row>
    <row r="50" customFormat="false" ht="11.25" hidden="false" customHeight="true" outlineLevel="0" collapsed="false">
      <c r="A50" s="50" t="s">
        <v>61</v>
      </c>
      <c r="B50" s="45" t="n">
        <f aca="false">SUM(C50:N50)</f>
        <v>0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9"/>
      <c r="P50" s="51" t="n">
        <f aca="false">I50</f>
        <v>0</v>
      </c>
      <c r="Q50" s="51" t="n">
        <f aca="false">J50</f>
        <v>0</v>
      </c>
      <c r="R50" s="49" t="n">
        <f aca="false">SUM(C50:I50)</f>
        <v>0</v>
      </c>
      <c r="S50" s="39" t="n">
        <f aca="false">R50=B50</f>
        <v>1</v>
      </c>
    </row>
    <row r="51" customFormat="false" ht="11.25" hidden="false" customHeight="true" outlineLevel="0" collapsed="false">
      <c r="A51" s="50" t="s">
        <v>96</v>
      </c>
      <c r="B51" s="45" t="n">
        <f aca="false">SUM(C51:N51)</f>
        <v>18920175</v>
      </c>
      <c r="C51" s="45" t="n">
        <v>333333</v>
      </c>
      <c r="D51" s="45" t="n">
        <v>291667</v>
      </c>
      <c r="E51" s="45" t="n">
        <v>291667</v>
      </c>
      <c r="F51" s="45" t="n">
        <v>3791674</v>
      </c>
      <c r="G51" s="45" t="n">
        <v>3368063</v>
      </c>
      <c r="H51" s="45" t="n">
        <v>784723</v>
      </c>
      <c r="I51" s="45" t="n">
        <v>853473</v>
      </c>
      <c r="J51" s="45" t="n">
        <v>805557</v>
      </c>
      <c r="K51" s="45" t="n">
        <v>805557</v>
      </c>
      <c r="L51" s="45" t="n">
        <v>888889</v>
      </c>
      <c r="M51" s="45" t="n">
        <v>805557</v>
      </c>
      <c r="N51" s="45" t="n">
        <v>5900015</v>
      </c>
      <c r="O51" s="49"/>
      <c r="P51" s="51" t="n">
        <f aca="false">I51</f>
        <v>853473</v>
      </c>
      <c r="Q51" s="51" t="n">
        <f aca="false">J51</f>
        <v>805557</v>
      </c>
      <c r="R51" s="49" t="n">
        <f aca="false">SUM(C51:I51)</f>
        <v>9714600</v>
      </c>
      <c r="S51" s="39" t="n">
        <f aca="false">R51=B51</f>
        <v>0</v>
      </c>
    </row>
    <row r="52" customFormat="false" ht="11.25" hidden="false" customHeight="true" outlineLevel="0" collapsed="false">
      <c r="A52" s="50" t="s">
        <v>63</v>
      </c>
      <c r="B52" s="45" t="n">
        <f aca="false">SUM(C52:N52)</f>
        <v>5810483</v>
      </c>
      <c r="C52" s="45" t="n">
        <v>469339</v>
      </c>
      <c r="D52" s="45" t="n">
        <v>609987</v>
      </c>
      <c r="E52" s="45" t="n">
        <v>503069</v>
      </c>
      <c r="F52" s="45" t="n">
        <v>437314</v>
      </c>
      <c r="G52" s="45" t="n">
        <v>459914</v>
      </c>
      <c r="H52" s="45" t="n">
        <v>481321</v>
      </c>
      <c r="I52" s="45" t="n">
        <v>369722</v>
      </c>
      <c r="J52" s="45" t="n">
        <v>437236</v>
      </c>
      <c r="K52" s="45" t="n">
        <v>560280</v>
      </c>
      <c r="L52" s="45" t="n">
        <v>391161</v>
      </c>
      <c r="M52" s="45" t="n">
        <v>410405</v>
      </c>
      <c r="N52" s="53" t="n">
        <v>680735</v>
      </c>
      <c r="O52" s="49"/>
      <c r="P52" s="51" t="n">
        <f aca="false">I52</f>
        <v>369722</v>
      </c>
      <c r="Q52" s="51" t="n">
        <f aca="false">J52</f>
        <v>437236</v>
      </c>
      <c r="R52" s="49" t="n">
        <f aca="false">SUM(C52:I52)</f>
        <v>3330666</v>
      </c>
      <c r="S52" s="39" t="n">
        <f aca="false">R52=B52</f>
        <v>0</v>
      </c>
    </row>
    <row r="53" customFormat="false" ht="11.25" hidden="false" customHeight="true" outlineLevel="0" collapsed="false">
      <c r="A53" s="50" t="s">
        <v>97</v>
      </c>
      <c r="B53" s="45" t="n">
        <f aca="false">SUM(C53:N53)</f>
        <v>1591040</v>
      </c>
      <c r="C53" s="45" t="n">
        <v>47200</v>
      </c>
      <c r="D53" s="45" t="n">
        <v>178700</v>
      </c>
      <c r="E53" s="45" t="n">
        <v>93300</v>
      </c>
      <c r="F53" s="45" t="n">
        <v>132700</v>
      </c>
      <c r="G53" s="45" t="n">
        <v>91200</v>
      </c>
      <c r="H53" s="45" t="n">
        <v>98000</v>
      </c>
      <c r="I53" s="45" t="n">
        <v>134050</v>
      </c>
      <c r="J53" s="45" t="n">
        <v>190350</v>
      </c>
      <c r="K53" s="45" t="n">
        <v>146300</v>
      </c>
      <c r="L53" s="45" t="n">
        <v>71900</v>
      </c>
      <c r="M53" s="45" t="n">
        <v>135640</v>
      </c>
      <c r="N53" s="53" t="n">
        <v>271700</v>
      </c>
      <c r="O53" s="49"/>
      <c r="P53" s="51" t="n">
        <f aca="false">I53</f>
        <v>134050</v>
      </c>
      <c r="Q53" s="51" t="n">
        <f aca="false">J53</f>
        <v>190350</v>
      </c>
      <c r="R53" s="49" t="n">
        <f aca="false">SUM(C53:I53)</f>
        <v>775150</v>
      </c>
      <c r="S53" s="39" t="n">
        <f aca="false">R53=B53</f>
        <v>0</v>
      </c>
    </row>
    <row r="54" customFormat="false" ht="11.25" hidden="false" customHeight="true" outlineLevel="0" collapsed="false">
      <c r="A54" s="50" t="s">
        <v>98</v>
      </c>
      <c r="B54" s="45" t="n">
        <f aca="false">SUM(C54:N54)</f>
        <v>5350000</v>
      </c>
      <c r="C54" s="45" t="n">
        <v>2100000</v>
      </c>
      <c r="D54" s="45"/>
      <c r="E54" s="45"/>
      <c r="F54" s="45"/>
      <c r="G54" s="45" t="n">
        <v>200000</v>
      </c>
      <c r="H54" s="45"/>
      <c r="I54" s="45" t="n">
        <v>400000</v>
      </c>
      <c r="J54" s="45"/>
      <c r="K54" s="45" t="n">
        <v>2100000</v>
      </c>
      <c r="L54" s="45" t="n">
        <v>400000</v>
      </c>
      <c r="M54" s="45" t="n">
        <v>150000</v>
      </c>
      <c r="N54" s="53"/>
      <c r="O54" s="49"/>
      <c r="P54" s="51" t="n">
        <f aca="false">I54</f>
        <v>400000</v>
      </c>
      <c r="Q54" s="51" t="n">
        <f aca="false">J54</f>
        <v>0</v>
      </c>
      <c r="R54" s="49" t="n">
        <f aca="false">SUM(C54:I54)</f>
        <v>2700000</v>
      </c>
      <c r="S54" s="39" t="n">
        <f aca="false">R54=B54</f>
        <v>0</v>
      </c>
    </row>
    <row r="55" customFormat="false" ht="11.25" hidden="false" customHeight="true" outlineLevel="0" collapsed="false">
      <c r="A55" s="50" t="s">
        <v>99</v>
      </c>
      <c r="B55" s="45" t="n">
        <f aca="false">SUM(C55:N55)</f>
        <v>727646</v>
      </c>
      <c r="C55" s="45" t="n">
        <v>106759</v>
      </c>
      <c r="D55" s="45" t="n">
        <v>97734</v>
      </c>
      <c r="E55" s="45" t="n">
        <v>52968</v>
      </c>
      <c r="F55" s="45" t="n">
        <v>47594</v>
      </c>
      <c r="G55" s="45" t="n">
        <v>60852</v>
      </c>
      <c r="H55" s="45" t="n">
        <v>56321</v>
      </c>
      <c r="I55" s="45" t="n">
        <v>40606</v>
      </c>
      <c r="J55" s="45" t="n">
        <v>52994</v>
      </c>
      <c r="K55" s="45" t="n">
        <v>44526</v>
      </c>
      <c r="L55" s="45" t="n">
        <v>55716</v>
      </c>
      <c r="M55" s="45" t="n">
        <v>50825</v>
      </c>
      <c r="N55" s="53" t="n">
        <v>60751</v>
      </c>
      <c r="O55" s="49"/>
      <c r="P55" s="51" t="n">
        <f aca="false">I55</f>
        <v>40606</v>
      </c>
      <c r="Q55" s="51" t="n">
        <f aca="false">J55</f>
        <v>52994</v>
      </c>
      <c r="R55" s="49" t="n">
        <f aca="false">SUM(C55:I55)</f>
        <v>462834</v>
      </c>
      <c r="S55" s="39" t="n">
        <f aca="false">R55=B55</f>
        <v>0</v>
      </c>
    </row>
    <row r="56" customFormat="false" ht="11.25" hidden="false" customHeight="true" outlineLevel="0" collapsed="false">
      <c r="A56" s="50" t="s">
        <v>100</v>
      </c>
      <c r="B56" s="45" t="n">
        <f aca="false">SUM(C56:N56)</f>
        <v>2029889</v>
      </c>
      <c r="C56" s="45" t="n">
        <v>415475</v>
      </c>
      <c r="D56" s="45" t="n">
        <v>312562</v>
      </c>
      <c r="E56" s="45" t="n">
        <v>210657</v>
      </c>
      <c r="F56" s="45" t="n">
        <v>193521</v>
      </c>
      <c r="G56" s="45" t="n">
        <v>153377</v>
      </c>
      <c r="H56" s="45" t="n">
        <v>150005</v>
      </c>
      <c r="I56" s="45" t="n">
        <v>106859</v>
      </c>
      <c r="J56" s="45" t="n">
        <v>115366</v>
      </c>
      <c r="K56" s="45" t="n">
        <v>110718</v>
      </c>
      <c r="L56" s="45" t="n">
        <v>76318</v>
      </c>
      <c r="M56" s="45" t="n">
        <v>90852</v>
      </c>
      <c r="N56" s="53" t="n">
        <v>94179</v>
      </c>
      <c r="O56" s="49"/>
      <c r="P56" s="51" t="n">
        <f aca="false">I56</f>
        <v>106859</v>
      </c>
      <c r="Q56" s="51" t="n">
        <f aca="false">J56</f>
        <v>115366</v>
      </c>
      <c r="R56" s="49" t="n">
        <f aca="false">SUM(C56:I56)</f>
        <v>1542456</v>
      </c>
      <c r="S56" s="39" t="n">
        <f aca="false">R56=B56</f>
        <v>0</v>
      </c>
    </row>
    <row r="57" customFormat="false" ht="11.25" hidden="false" customHeight="true" outlineLevel="0" collapsed="false">
      <c r="A57" s="50" t="s">
        <v>101</v>
      </c>
      <c r="B57" s="45" t="n">
        <f aca="false">SUM(C57:N57)</f>
        <v>49691729</v>
      </c>
      <c r="C57" s="45" t="n">
        <v>1649770</v>
      </c>
      <c r="D57" s="45" t="n">
        <v>1609270</v>
      </c>
      <c r="E57" s="45" t="n">
        <v>1657510</v>
      </c>
      <c r="F57" s="45" t="n">
        <v>1900910</v>
      </c>
      <c r="G57" s="45" t="n">
        <v>31207749</v>
      </c>
      <c r="H57" s="45" t="n">
        <v>1709750</v>
      </c>
      <c r="I57" s="45" t="n">
        <v>1622540</v>
      </c>
      <c r="J57" s="45" t="n">
        <v>1685040</v>
      </c>
      <c r="K57" s="45" t="n">
        <v>1744640</v>
      </c>
      <c r="L57" s="45" t="n">
        <v>1634850</v>
      </c>
      <c r="M57" s="45" t="n">
        <v>1634850</v>
      </c>
      <c r="N57" s="45" t="n">
        <v>1634850</v>
      </c>
      <c r="O57" s="49"/>
      <c r="P57" s="51" t="n">
        <f aca="false">I57</f>
        <v>1622540</v>
      </c>
      <c r="Q57" s="51" t="n">
        <f aca="false">J57</f>
        <v>1685040</v>
      </c>
      <c r="R57" s="49" t="n">
        <f aca="false">SUM(C57:I57)</f>
        <v>41357499</v>
      </c>
      <c r="S57" s="39" t="n">
        <f aca="false">R57=B57</f>
        <v>0</v>
      </c>
    </row>
    <row r="58" customFormat="false" ht="11.25" hidden="false" customHeight="true" outlineLevel="0" collapsed="false">
      <c r="A58" s="50" t="s">
        <v>102</v>
      </c>
      <c r="B58" s="45" t="n">
        <f aca="false">SUM(C58:N58)</f>
        <v>3613561</v>
      </c>
      <c r="C58" s="45" t="n">
        <v>301130</v>
      </c>
      <c r="D58" s="45" t="n">
        <v>301130</v>
      </c>
      <c r="E58" s="45" t="n">
        <v>301130</v>
      </c>
      <c r="F58" s="45" t="n">
        <v>301130</v>
      </c>
      <c r="G58" s="45" t="n">
        <v>301130</v>
      </c>
      <c r="H58" s="45" t="n">
        <v>301130</v>
      </c>
      <c r="I58" s="45" t="n">
        <v>301130</v>
      </c>
      <c r="J58" s="45" t="n">
        <v>301130</v>
      </c>
      <c r="K58" s="45" t="n">
        <v>301130</v>
      </c>
      <c r="L58" s="45" t="n">
        <v>301130</v>
      </c>
      <c r="M58" s="45" t="n">
        <v>301130</v>
      </c>
      <c r="N58" s="45" t="n">
        <v>301131</v>
      </c>
      <c r="O58" s="49"/>
      <c r="P58" s="51" t="n">
        <f aca="false">I58</f>
        <v>301130</v>
      </c>
      <c r="Q58" s="51" t="n">
        <f aca="false">J58</f>
        <v>301130</v>
      </c>
      <c r="R58" s="49" t="n">
        <f aca="false">SUM(C58:I58)</f>
        <v>2107910</v>
      </c>
      <c r="S58" s="39" t="n">
        <f aca="false">R58=B58</f>
        <v>0</v>
      </c>
    </row>
    <row r="59" customFormat="false" ht="11.25" hidden="false" customHeight="true" outlineLevel="0" collapsed="false">
      <c r="A59" s="50" t="s">
        <v>64</v>
      </c>
      <c r="B59" s="45" t="n">
        <f aca="false">SUM(C59:N59)</f>
        <v>33600000</v>
      </c>
      <c r="C59" s="45" t="n">
        <v>2800000</v>
      </c>
      <c r="D59" s="45" t="n">
        <v>2800000</v>
      </c>
      <c r="E59" s="45" t="n">
        <v>2800000</v>
      </c>
      <c r="F59" s="45" t="n">
        <v>2800000</v>
      </c>
      <c r="G59" s="45" t="n">
        <v>2800000</v>
      </c>
      <c r="H59" s="45" t="n">
        <v>2800000</v>
      </c>
      <c r="I59" s="45" t="n">
        <v>2800000</v>
      </c>
      <c r="J59" s="45" t="n">
        <v>2800000</v>
      </c>
      <c r="K59" s="45" t="n">
        <v>2800000</v>
      </c>
      <c r="L59" s="45" t="n">
        <v>2800000</v>
      </c>
      <c r="M59" s="45" t="n">
        <v>2800000</v>
      </c>
      <c r="N59" s="45" t="n">
        <v>2800000</v>
      </c>
      <c r="O59" s="49"/>
      <c r="P59" s="51" t="n">
        <f aca="false">I59</f>
        <v>2800000</v>
      </c>
      <c r="Q59" s="51" t="n">
        <f aca="false">J59</f>
        <v>2800000</v>
      </c>
      <c r="R59" s="49" t="n">
        <f aca="false">SUM(C59:I59)</f>
        <v>19600000</v>
      </c>
      <c r="S59" s="39" t="n">
        <f aca="false">R59=B59</f>
        <v>0</v>
      </c>
    </row>
    <row r="60" customFormat="false" ht="11.25" hidden="false" customHeight="true" outlineLevel="0" collapsed="false">
      <c r="A60" s="50" t="s">
        <v>103</v>
      </c>
      <c r="B60" s="45" t="n">
        <f aca="false">SUM(C60:N60)</f>
        <v>3574985</v>
      </c>
      <c r="C60" s="45" t="n">
        <v>305540</v>
      </c>
      <c r="D60" s="45" t="n">
        <v>305540</v>
      </c>
      <c r="E60" s="45" t="n">
        <v>305540</v>
      </c>
      <c r="F60" s="45" t="n">
        <v>305536</v>
      </c>
      <c r="G60" s="45" t="n">
        <v>170908</v>
      </c>
      <c r="H60" s="45" t="n">
        <v>311703</v>
      </c>
      <c r="I60" s="45" t="n">
        <v>311703</v>
      </c>
      <c r="J60" s="45" t="n">
        <v>311703</v>
      </c>
      <c r="K60" s="45" t="n">
        <v>311703</v>
      </c>
      <c r="L60" s="45" t="n">
        <v>311703</v>
      </c>
      <c r="M60" s="45" t="n">
        <v>311703</v>
      </c>
      <c r="N60" s="45" t="n">
        <v>311703</v>
      </c>
      <c r="O60" s="49"/>
      <c r="P60" s="51" t="n">
        <f aca="false">I60</f>
        <v>311703</v>
      </c>
      <c r="Q60" s="51" t="n">
        <f aca="false">J60</f>
        <v>311703</v>
      </c>
      <c r="R60" s="49" t="n">
        <f aca="false">SUM(C60:I60)</f>
        <v>2016470</v>
      </c>
      <c r="S60" s="39" t="n">
        <f aca="false">R60=B60</f>
        <v>0</v>
      </c>
    </row>
    <row r="61" customFormat="false" ht="11.25" hidden="false" customHeight="true" outlineLevel="0" collapsed="false">
      <c r="A61" s="50" t="s">
        <v>104</v>
      </c>
      <c r="B61" s="45" t="n">
        <f aca="false">SUM(C61:N61)</f>
        <v>238310</v>
      </c>
      <c r="C61" s="45" t="n">
        <v>27273</v>
      </c>
      <c r="D61" s="45" t="n">
        <v>161468</v>
      </c>
      <c r="E61" s="45"/>
      <c r="F61" s="45"/>
      <c r="G61" s="45"/>
      <c r="H61" s="45"/>
      <c r="I61" s="45" t="n">
        <v>49569</v>
      </c>
      <c r="J61" s="45"/>
      <c r="K61" s="45"/>
      <c r="L61" s="45"/>
      <c r="M61" s="45"/>
      <c r="N61" s="53"/>
      <c r="O61" s="49"/>
      <c r="P61" s="51" t="n">
        <f aca="false">I61</f>
        <v>49569</v>
      </c>
      <c r="Q61" s="51" t="n">
        <f aca="false">J61</f>
        <v>0</v>
      </c>
      <c r="R61" s="49" t="n">
        <f aca="false">SUM(C61:I61)</f>
        <v>238310</v>
      </c>
      <c r="S61" s="39" t="n">
        <f aca="false">R61=B61</f>
        <v>1</v>
      </c>
    </row>
    <row r="62" customFormat="false" ht="11.25" hidden="false" customHeight="true" outlineLevel="0" collapsed="false">
      <c r="A62" s="50" t="s">
        <v>65</v>
      </c>
      <c r="B62" s="45" t="n">
        <f aca="false">SUM(C62:N62)</f>
        <v>72762907</v>
      </c>
      <c r="C62" s="59" t="n">
        <v>5000</v>
      </c>
      <c r="D62" s="45" t="n">
        <v>5000</v>
      </c>
      <c r="E62" s="45" t="n">
        <v>17000</v>
      </c>
      <c r="F62" s="45" t="n">
        <v>15000</v>
      </c>
      <c r="G62" s="45" t="n">
        <v>44155</v>
      </c>
      <c r="H62" s="45"/>
      <c r="I62" s="45" t="n">
        <v>55000</v>
      </c>
      <c r="J62" s="45"/>
      <c r="K62" s="45" t="n">
        <v>42000</v>
      </c>
      <c r="L62" s="45" t="n">
        <v>27254440</v>
      </c>
      <c r="M62" s="45" t="n">
        <v>45112312</v>
      </c>
      <c r="N62" s="53" t="n">
        <v>213000</v>
      </c>
      <c r="O62" s="49"/>
      <c r="P62" s="51" t="n">
        <f aca="false">I62</f>
        <v>55000</v>
      </c>
      <c r="Q62" s="51" t="n">
        <f aca="false">J62</f>
        <v>0</v>
      </c>
      <c r="R62" s="49" t="n">
        <f aca="false">SUM(C62:I62)</f>
        <v>141155</v>
      </c>
      <c r="S62" s="39" t="n">
        <f aca="false">R62=B62</f>
        <v>0</v>
      </c>
    </row>
    <row r="63" customFormat="false" ht="11.25" hidden="false" customHeight="true" outlineLevel="0" collapsed="false">
      <c r="A63" s="50" t="s">
        <v>105</v>
      </c>
      <c r="B63" s="45" t="n">
        <f aca="false">SUM(C63:N63)</f>
        <v>517332</v>
      </c>
      <c r="C63" s="45" t="n">
        <v>63480</v>
      </c>
      <c r="D63" s="45" t="n">
        <v>33115</v>
      </c>
      <c r="E63" s="45"/>
      <c r="F63" s="45" t="n">
        <v>73356</v>
      </c>
      <c r="G63" s="45" t="n">
        <v>135987</v>
      </c>
      <c r="H63" s="45" t="n">
        <v>50940</v>
      </c>
      <c r="I63" s="45"/>
      <c r="J63" s="45" t="n">
        <v>28908</v>
      </c>
      <c r="K63" s="45" t="n">
        <v>8000</v>
      </c>
      <c r="L63" s="45" t="n">
        <v>123546</v>
      </c>
      <c r="M63" s="45"/>
      <c r="N63" s="53"/>
      <c r="O63" s="49"/>
      <c r="P63" s="51" t="n">
        <f aca="false">I63</f>
        <v>0</v>
      </c>
      <c r="Q63" s="51" t="n">
        <f aca="false">J63</f>
        <v>28908</v>
      </c>
      <c r="R63" s="49" t="n">
        <f aca="false">SUM(C63:I63)</f>
        <v>356878</v>
      </c>
      <c r="S63" s="39" t="n">
        <f aca="false">R63=B63</f>
        <v>0</v>
      </c>
    </row>
    <row r="64" customFormat="false" ht="11.25" hidden="false" customHeight="true" outlineLevel="0" collapsed="false">
      <c r="A64" s="50" t="s">
        <v>66</v>
      </c>
      <c r="B64" s="45" t="n">
        <f aca="false">SUM(C64:N64)</f>
        <v>51079528</v>
      </c>
      <c r="C64" s="45" t="n">
        <v>479127</v>
      </c>
      <c r="D64" s="45" t="n">
        <v>752036</v>
      </c>
      <c r="E64" s="45" t="n">
        <v>6545632</v>
      </c>
      <c r="F64" s="45" t="n">
        <v>17900611</v>
      </c>
      <c r="G64" s="45" t="n">
        <v>630636</v>
      </c>
      <c r="H64" s="45" t="n">
        <v>11408359</v>
      </c>
      <c r="I64" s="45" t="n">
        <v>682588</v>
      </c>
      <c r="J64" s="45" t="n">
        <v>574725</v>
      </c>
      <c r="K64" s="45" t="n">
        <v>1595588</v>
      </c>
      <c r="L64" s="45" t="n">
        <v>2217057</v>
      </c>
      <c r="M64" s="45" t="n">
        <v>4336646</v>
      </c>
      <c r="N64" s="53" t="n">
        <v>3956523</v>
      </c>
      <c r="O64" s="49"/>
      <c r="P64" s="51" t="n">
        <f aca="false">I64</f>
        <v>682588</v>
      </c>
      <c r="Q64" s="51" t="n">
        <f aca="false">J64</f>
        <v>574725</v>
      </c>
      <c r="R64" s="49" t="n">
        <f aca="false">SUM(C64:I64)</f>
        <v>38398989</v>
      </c>
      <c r="S64" s="39" t="n">
        <f aca="false">R64=B64</f>
        <v>0</v>
      </c>
    </row>
    <row r="65" customFormat="false" ht="11.25" hidden="false" customHeight="true" outlineLevel="0" collapsed="false">
      <c r="A65" s="50" t="s">
        <v>106</v>
      </c>
      <c r="B65" s="45" t="n">
        <f aca="false">SUM(C65:N65)</f>
        <v>12499315</v>
      </c>
      <c r="C65" s="45" t="n">
        <v>2068240</v>
      </c>
      <c r="D65" s="45" t="n">
        <v>2068240</v>
      </c>
      <c r="E65" s="45" t="n">
        <v>2068240</v>
      </c>
      <c r="F65" s="45" t="n">
        <v>2068240</v>
      </c>
      <c r="G65" s="45" t="n">
        <v>2068240</v>
      </c>
      <c r="H65" s="45" t="n">
        <v>2068240</v>
      </c>
      <c r="I65" s="45" t="n">
        <v>74626</v>
      </c>
      <c r="J65" s="45" t="n">
        <v>11912</v>
      </c>
      <c r="K65" s="45"/>
      <c r="L65" s="53" t="n">
        <v>3337</v>
      </c>
      <c r="M65" s="45"/>
      <c r="N65" s="53"/>
      <c r="O65" s="49"/>
      <c r="P65" s="51" t="n">
        <f aca="false">I65</f>
        <v>74626</v>
      </c>
      <c r="Q65" s="51" t="n">
        <f aca="false">J65</f>
        <v>11912</v>
      </c>
      <c r="R65" s="49" t="n">
        <f aca="false">SUM(C65:I65)</f>
        <v>12484066</v>
      </c>
      <c r="S65" s="39" t="n">
        <f aca="false">R65=B65</f>
        <v>0</v>
      </c>
    </row>
    <row r="66" customFormat="false" ht="11.25" hidden="false" customHeight="true" outlineLevel="0" collapsed="false">
      <c r="A66" s="50" t="s">
        <v>107</v>
      </c>
      <c r="B66" s="45" t="n">
        <f aca="false">SUM(C66:N66)</f>
        <v>0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53"/>
      <c r="O66" s="49"/>
      <c r="P66" s="51" t="n">
        <f aca="false">I66</f>
        <v>0</v>
      </c>
      <c r="Q66" s="51" t="n">
        <f aca="false">J66</f>
        <v>0</v>
      </c>
      <c r="R66" s="49" t="n">
        <f aca="false">SUM(C66:I66)</f>
        <v>0</v>
      </c>
      <c r="S66" s="39" t="n">
        <f aca="false">R66=B66</f>
        <v>1</v>
      </c>
    </row>
    <row r="67" customFormat="false" ht="11.25" hidden="false" customHeight="true" outlineLevel="0" collapsed="false">
      <c r="A67" s="50" t="s">
        <v>109</v>
      </c>
      <c r="B67" s="45" t="n">
        <f aca="false">SUM(C67:N67)</f>
        <v>0</v>
      </c>
      <c r="C67" s="45"/>
      <c r="D67" s="45"/>
      <c r="F67" s="45"/>
      <c r="H67" s="45"/>
      <c r="I67" s="45"/>
      <c r="J67" s="45"/>
      <c r="K67" s="45"/>
      <c r="L67" s="53"/>
      <c r="M67" s="53"/>
      <c r="N67" s="53"/>
      <c r="O67" s="49"/>
      <c r="P67" s="51" t="n">
        <f aca="false">I67</f>
        <v>0</v>
      </c>
      <c r="Q67" s="51" t="n">
        <f aca="false">J67</f>
        <v>0</v>
      </c>
      <c r="R67" s="49" t="n">
        <f aca="false">SUM(C67:I67)</f>
        <v>0</v>
      </c>
    </row>
    <row r="68" customFormat="false" ht="11.25" hidden="false" customHeight="true" outlineLevel="0" collapsed="false">
      <c r="A68" s="50" t="s">
        <v>110</v>
      </c>
      <c r="B68" s="45" t="n">
        <f aca="false">SUM(C68:N68)</f>
        <v>0</v>
      </c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9"/>
      <c r="P68" s="51" t="n">
        <f aca="false">I68</f>
        <v>0</v>
      </c>
      <c r="Q68" s="51" t="n">
        <f aca="false">J68</f>
        <v>0</v>
      </c>
      <c r="R68" s="49" t="n">
        <f aca="false">SUM(C68:I68)</f>
        <v>0</v>
      </c>
      <c r="S68" s="39" t="n">
        <f aca="false">R68=B68</f>
        <v>1</v>
      </c>
    </row>
    <row r="69" customFormat="false" ht="13.5" hidden="false" customHeight="true" outlineLevel="0" collapsed="false">
      <c r="A69" s="44" t="s">
        <v>111</v>
      </c>
      <c r="B69" s="45" t="n">
        <f aca="false">SUM(C69:N69)</f>
        <v>-1078407879</v>
      </c>
      <c r="C69" s="45" t="n">
        <f aca="false">C46-C47</f>
        <v>-30750307</v>
      </c>
      <c r="D69" s="45" t="n">
        <f aca="false">D46-D47</f>
        <v>-41611309</v>
      </c>
      <c r="E69" s="45" t="n">
        <f aca="false">E46-E47</f>
        <v>-35524258</v>
      </c>
      <c r="F69" s="45" t="n">
        <f aca="false">F46-F47</f>
        <v>-36255892</v>
      </c>
      <c r="G69" s="45" t="n">
        <f aca="false">G46-G47</f>
        <v>-76224847</v>
      </c>
      <c r="H69" s="45" t="n">
        <f aca="false">H46-H47</f>
        <v>519720</v>
      </c>
      <c r="I69" s="45" t="n">
        <f aca="false">I46-I47</f>
        <v>-20554104</v>
      </c>
      <c r="J69" s="45" t="n">
        <f aca="false">J46-J47</f>
        <v>-21022293</v>
      </c>
      <c r="K69" s="45" t="n">
        <f aca="false">K46-K47</f>
        <v>-46934037</v>
      </c>
      <c r="L69" s="45" t="n">
        <f aca="false">L46-L47</f>
        <v>-35889831</v>
      </c>
      <c r="M69" s="45" t="n">
        <f aca="false">M46-M47</f>
        <v>-28074685</v>
      </c>
      <c r="N69" s="45" t="n">
        <f aca="false">N46-N47</f>
        <v>-706086036</v>
      </c>
      <c r="O69" s="49"/>
      <c r="P69" s="51" t="n">
        <f aca="false">I69</f>
        <v>-20554104</v>
      </c>
      <c r="Q69" s="51" t="n">
        <f aca="false">J69</f>
        <v>-21022293</v>
      </c>
      <c r="R69" s="49" t="n">
        <f aca="false">SUM(C69:I69)</f>
        <v>-240400997</v>
      </c>
      <c r="S69" s="39" t="n">
        <f aca="false">R69=B69</f>
        <v>0</v>
      </c>
    </row>
    <row r="70" customFormat="false" ht="13.5" hidden="false" customHeight="true" outlineLevel="0" collapsed="false">
      <c r="A70" s="44" t="s">
        <v>112</v>
      </c>
      <c r="B70" s="45" t="n">
        <f aca="false">SUM(C70:N70)</f>
        <v>265152476</v>
      </c>
      <c r="C70" s="45" t="n">
        <f aca="false">SUM(C71:C75)</f>
        <v>10723</v>
      </c>
      <c r="D70" s="45" t="n">
        <f aca="false">SUM(D71:D75)</f>
        <v>20247843</v>
      </c>
      <c r="E70" s="45" t="n">
        <f aca="false">SUM(E71:E75)</f>
        <v>682352</v>
      </c>
      <c r="F70" s="45" t="n">
        <f aca="false">SUM(F71:F75)</f>
        <v>1104516</v>
      </c>
      <c r="G70" s="45" t="n">
        <f aca="false">SUM(G71:G75)</f>
        <v>34485994</v>
      </c>
      <c r="H70" s="45" t="n">
        <f aca="false">SUM(H71:H75)</f>
        <v>100259237</v>
      </c>
      <c r="I70" s="45" t="n">
        <f aca="false">SUM(I71:I75)</f>
        <v>8708974</v>
      </c>
      <c r="J70" s="45" t="n">
        <f aca="false">SUM(J71:J75)</f>
        <v>22569653</v>
      </c>
      <c r="K70" s="45" t="n">
        <f aca="false">SUM(K71:K75)</f>
        <v>102677</v>
      </c>
      <c r="L70" s="45" t="n">
        <f aca="false">SUM(L71:L75)</f>
        <v>4867784</v>
      </c>
      <c r="M70" s="45" t="n">
        <f aca="false">SUM(M71:M75)</f>
        <v>68402558</v>
      </c>
      <c r="N70" s="45" t="n">
        <f aca="false">SUM(N71:N75)</f>
        <v>3710165</v>
      </c>
      <c r="O70" s="49"/>
      <c r="P70" s="51" t="n">
        <f aca="false">I70</f>
        <v>8708974</v>
      </c>
      <c r="Q70" s="51" t="n">
        <f aca="false">J70</f>
        <v>22569653</v>
      </c>
      <c r="R70" s="49" t="n">
        <f aca="false">SUM(C70:I70)</f>
        <v>165499639</v>
      </c>
      <c r="S70" s="39" t="n">
        <f aca="false">R70=B70</f>
        <v>0</v>
      </c>
    </row>
    <row r="71" customFormat="false" ht="11.25" hidden="false" customHeight="true" outlineLevel="0" collapsed="false">
      <c r="A71" s="50" t="s">
        <v>113</v>
      </c>
      <c r="B71" s="45" t="n">
        <f aca="false">SUM(C71:N71)</f>
        <v>13054630</v>
      </c>
      <c r="C71" s="45"/>
      <c r="D71" s="45"/>
      <c r="E71" s="45" t="n">
        <v>243900</v>
      </c>
      <c r="F71" s="45" t="n">
        <v>1500</v>
      </c>
      <c r="G71" s="45" t="n">
        <v>1130</v>
      </c>
      <c r="H71" s="45" t="n">
        <v>63189</v>
      </c>
      <c r="I71" s="45" t="n">
        <v>2617</v>
      </c>
      <c r="J71" s="45" t="n">
        <v>12287671</v>
      </c>
      <c r="K71" s="45" t="n">
        <v>28724</v>
      </c>
      <c r="L71" s="45" t="n">
        <v>1445</v>
      </c>
      <c r="M71" s="45" t="n">
        <v>1053</v>
      </c>
      <c r="N71" s="45" t="n">
        <v>423401</v>
      </c>
      <c r="O71" s="49"/>
      <c r="P71" s="51" t="n">
        <f aca="false">I71</f>
        <v>2617</v>
      </c>
      <c r="Q71" s="51" t="n">
        <f aca="false">J71</f>
        <v>12287671</v>
      </c>
      <c r="R71" s="49" t="n">
        <f aca="false">SUM(C71:I71)</f>
        <v>312336</v>
      </c>
      <c r="S71" s="39" t="n">
        <f aca="false">R71=B71</f>
        <v>0</v>
      </c>
    </row>
    <row r="72" customFormat="false" ht="11.25" hidden="false" customHeight="true" outlineLevel="0" collapsed="false">
      <c r="A72" s="50" t="s">
        <v>114</v>
      </c>
      <c r="B72" s="45" t="n">
        <f aca="false">SUM(C72:N72)</f>
        <v>106072534</v>
      </c>
      <c r="C72" s="45"/>
      <c r="D72" s="45"/>
      <c r="E72" s="45" t="n">
        <v>437732</v>
      </c>
      <c r="F72" s="45" t="n">
        <v>1102297</v>
      </c>
      <c r="G72" s="45" t="n">
        <v>34473993</v>
      </c>
      <c r="H72" s="45" t="n">
        <v>38446967</v>
      </c>
      <c r="I72" s="45" t="n">
        <v>8700641</v>
      </c>
      <c r="J72" s="45" t="n">
        <v>10274842</v>
      </c>
      <c r="K72" s="45" t="n">
        <v>73241</v>
      </c>
      <c r="L72" s="45" t="n">
        <v>4865634</v>
      </c>
      <c r="M72" s="45" t="n">
        <v>4400804</v>
      </c>
      <c r="N72" s="45" t="n">
        <v>3296383</v>
      </c>
      <c r="O72" s="49"/>
      <c r="P72" s="51" t="n">
        <f aca="false">I72</f>
        <v>8700641</v>
      </c>
      <c r="Q72" s="51" t="n">
        <f aca="false">J72</f>
        <v>10274842</v>
      </c>
      <c r="R72" s="49" t="n">
        <f aca="false">SUM(C72:I72)</f>
        <v>83161630</v>
      </c>
      <c r="S72" s="39" t="n">
        <f aca="false">R72=B72</f>
        <v>0</v>
      </c>
    </row>
    <row r="73" customFormat="false" ht="11.25" hidden="false" customHeight="true" outlineLevel="0" collapsed="false">
      <c r="A73" s="50" t="s">
        <v>390</v>
      </c>
      <c r="B73" s="45" t="n">
        <f aca="false">SUM(C73:N73)</f>
        <v>0</v>
      </c>
      <c r="C73" s="45"/>
      <c r="D73" s="45"/>
      <c r="E73" s="45"/>
      <c r="F73" s="45"/>
      <c r="H73" s="45"/>
      <c r="I73" s="45"/>
      <c r="J73" s="45"/>
      <c r="K73" s="45"/>
      <c r="L73" s="45"/>
      <c r="M73" s="45"/>
      <c r="N73" s="45"/>
      <c r="O73" s="49"/>
      <c r="P73" s="51" t="n">
        <f aca="false">I73</f>
        <v>0</v>
      </c>
      <c r="Q73" s="51" t="n">
        <f aca="false">J73</f>
        <v>0</v>
      </c>
      <c r="R73" s="49" t="n">
        <f aca="false">SUM(C73:I73)</f>
        <v>0</v>
      </c>
      <c r="S73" s="39" t="n">
        <f aca="false">R73=B73</f>
        <v>1</v>
      </c>
    </row>
    <row r="74" customFormat="false" ht="11.25" hidden="false" customHeight="true" outlineLevel="0" collapsed="false">
      <c r="A74" s="62" t="s">
        <v>116</v>
      </c>
      <c r="B74" s="45" t="n">
        <f aca="false">SUM(C74:N74)</f>
        <v>0</v>
      </c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9"/>
      <c r="P74" s="51" t="n">
        <f aca="false">I74</f>
        <v>0</v>
      </c>
      <c r="Q74" s="51" t="n">
        <f aca="false">J74</f>
        <v>0</v>
      </c>
      <c r="R74" s="49" t="n">
        <f aca="false">SUM(C74:I74)</f>
        <v>0</v>
      </c>
      <c r="S74" s="39" t="n">
        <f aca="false">R74=B74</f>
        <v>1</v>
      </c>
    </row>
    <row r="75" customFormat="false" ht="11.25" hidden="false" customHeight="true" outlineLevel="0" collapsed="false">
      <c r="A75" s="50" t="s">
        <v>117</v>
      </c>
      <c r="B75" s="45" t="n">
        <f aca="false">SUM(C75:N75)</f>
        <v>146025312</v>
      </c>
      <c r="C75" s="45" t="n">
        <v>10723</v>
      </c>
      <c r="D75" s="45" t="n">
        <v>20247843</v>
      </c>
      <c r="E75" s="45" t="n">
        <v>720</v>
      </c>
      <c r="F75" s="45" t="n">
        <v>719</v>
      </c>
      <c r="G75" s="45" t="n">
        <v>10871</v>
      </c>
      <c r="H75" s="45" t="n">
        <v>61749081</v>
      </c>
      <c r="I75" s="45" t="n">
        <v>5716</v>
      </c>
      <c r="J75" s="45" t="n">
        <v>7140</v>
      </c>
      <c r="K75" s="45" t="n">
        <v>712</v>
      </c>
      <c r="L75" s="45" t="n">
        <v>705</v>
      </c>
      <c r="M75" s="45" t="n">
        <v>64000701</v>
      </c>
      <c r="N75" s="45" t="n">
        <v>-9619</v>
      </c>
      <c r="O75" s="49"/>
      <c r="P75" s="51" t="n">
        <f aca="false">I75</f>
        <v>5716</v>
      </c>
      <c r="Q75" s="51" t="n">
        <f aca="false">J75</f>
        <v>7140</v>
      </c>
      <c r="R75" s="49" t="n">
        <f aca="false">SUM(C75:I75)</f>
        <v>82025673</v>
      </c>
      <c r="S75" s="39" t="n">
        <f aca="false">R75=B75</f>
        <v>0</v>
      </c>
    </row>
    <row r="76" customFormat="false" ht="14.25" hidden="false" customHeight="true" outlineLevel="0" collapsed="false">
      <c r="A76" s="44" t="s">
        <v>118</v>
      </c>
      <c r="B76" s="45" t="n">
        <f aca="false">SUM(C76:N76)</f>
        <v>3821590950</v>
      </c>
      <c r="C76" s="45" t="n">
        <f aca="false">SUM(C77:C81)</f>
        <v>169609298</v>
      </c>
      <c r="D76" s="45" t="n">
        <f aca="false">SUM(D77:D81)</f>
        <v>158692486</v>
      </c>
      <c r="E76" s="45" t="n">
        <f aca="false">SUM(E77:E81)</f>
        <v>236163241</v>
      </c>
      <c r="F76" s="45" t="n">
        <f aca="false">SUM(F77:F81)</f>
        <v>166823259</v>
      </c>
      <c r="G76" s="45" t="n">
        <f aca="false">SUM(G77:G81)</f>
        <v>181784671</v>
      </c>
      <c r="H76" s="45" t="n">
        <f aca="false">SUM(H77:H81)</f>
        <v>223434488</v>
      </c>
      <c r="I76" s="45" t="n">
        <f aca="false">SUM(I77:I81)</f>
        <v>191306154</v>
      </c>
      <c r="J76" s="45" t="n">
        <f aca="false">SUM(J77:J81)</f>
        <v>197923287</v>
      </c>
      <c r="K76" s="45" t="n">
        <f aca="false">SUM(K77:K81)</f>
        <v>224845704</v>
      </c>
      <c r="L76" s="45" t="n">
        <f aca="false">SUM(L77:L81)</f>
        <v>189813523</v>
      </c>
      <c r="M76" s="45" t="n">
        <f aca="false">SUM(M77:M81)</f>
        <v>182258571</v>
      </c>
      <c r="N76" s="45" t="n">
        <f aca="false">SUM(N77:N81)</f>
        <v>1698936268</v>
      </c>
      <c r="O76" s="49"/>
      <c r="P76" s="51" t="n">
        <f aca="false">I76</f>
        <v>191306154</v>
      </c>
      <c r="Q76" s="51" t="n">
        <f aca="false">J76</f>
        <v>197923287</v>
      </c>
      <c r="R76" s="49" t="n">
        <f aca="false">SUM(C76:I76)</f>
        <v>1327813597</v>
      </c>
      <c r="S76" s="39" t="n">
        <f aca="false">R76=B76</f>
        <v>0</v>
      </c>
    </row>
    <row r="77" customFormat="false" ht="11.25" hidden="false" customHeight="true" outlineLevel="0" collapsed="false">
      <c r="A77" s="50" t="s">
        <v>119</v>
      </c>
      <c r="B77" s="45" t="n">
        <f aca="false">SUM(C77:N77)</f>
        <v>3758791332</v>
      </c>
      <c r="C77" s="45" t="n">
        <v>169609298</v>
      </c>
      <c r="D77" s="45" t="n">
        <v>157171255</v>
      </c>
      <c r="E77" s="45" t="n">
        <v>234996394</v>
      </c>
      <c r="F77" s="45" t="n">
        <v>164486215</v>
      </c>
      <c r="G77" s="45" t="n">
        <v>174809756</v>
      </c>
      <c r="H77" s="45" t="n">
        <v>215742161</v>
      </c>
      <c r="I77" s="45" t="n">
        <v>191306154</v>
      </c>
      <c r="J77" s="45" t="n">
        <v>197923287</v>
      </c>
      <c r="K77" s="45" t="n">
        <v>223800647</v>
      </c>
      <c r="L77" s="45" t="n">
        <v>189813523</v>
      </c>
      <c r="M77" s="45" t="n">
        <v>182258571</v>
      </c>
      <c r="N77" s="45" t="n">
        <v>1656874071</v>
      </c>
      <c r="O77" s="49"/>
      <c r="P77" s="51" t="n">
        <f aca="false">I77</f>
        <v>191306154</v>
      </c>
      <c r="Q77" s="51" t="n">
        <f aca="false">J77</f>
        <v>197923287</v>
      </c>
      <c r="R77" s="49" t="n">
        <f aca="false">SUM(C77:I77)</f>
        <v>1308121233</v>
      </c>
      <c r="S77" s="39" t="n">
        <f aca="false">R77=B77</f>
        <v>0</v>
      </c>
    </row>
    <row r="78" customFormat="false" ht="11.25" hidden="false" customHeight="true" outlineLevel="0" collapsed="false">
      <c r="A78" s="50" t="s">
        <v>120</v>
      </c>
      <c r="B78" s="45" t="n">
        <f aca="false">SUM(C78:N78)</f>
        <v>59434018</v>
      </c>
      <c r="C78" s="45"/>
      <c r="D78" s="45" t="n">
        <v>1521231</v>
      </c>
      <c r="E78" s="45" t="n">
        <v>1166847</v>
      </c>
      <c r="F78" s="45" t="n">
        <v>2323346</v>
      </c>
      <c r="G78" s="45" t="n">
        <v>6974915</v>
      </c>
      <c r="H78" s="45" t="n">
        <v>7692327</v>
      </c>
      <c r="I78" s="45"/>
      <c r="J78" s="45"/>
      <c r="K78" s="45" t="n">
        <v>1045057</v>
      </c>
      <c r="L78" s="45"/>
      <c r="M78" s="45"/>
      <c r="N78" s="45" t="n">
        <v>38710295</v>
      </c>
      <c r="O78" s="49"/>
      <c r="P78" s="51" t="n">
        <f aca="false">I78</f>
        <v>0</v>
      </c>
      <c r="Q78" s="51" t="n">
        <f aca="false">J78</f>
        <v>0</v>
      </c>
      <c r="R78" s="49" t="n">
        <f aca="false">SUM(C78:I78)</f>
        <v>19678666</v>
      </c>
      <c r="S78" s="39" t="n">
        <f aca="false">R78=B78</f>
        <v>0</v>
      </c>
    </row>
    <row r="79" customFormat="false" ht="11.25" hidden="false" customHeight="true" outlineLevel="0" collapsed="false">
      <c r="A79" s="50" t="s">
        <v>121</v>
      </c>
      <c r="B79" s="45" t="n">
        <f aca="false">SUM(C79:N79)</f>
        <v>3365600</v>
      </c>
      <c r="C79" s="45"/>
      <c r="D79" s="45"/>
      <c r="F79" s="45"/>
      <c r="H79" s="45"/>
      <c r="I79" s="45"/>
      <c r="J79" s="45"/>
      <c r="K79" s="45"/>
      <c r="L79" s="45"/>
      <c r="M79" s="45"/>
      <c r="N79" s="45" t="n">
        <v>3365600</v>
      </c>
      <c r="O79" s="49"/>
      <c r="P79" s="51" t="n">
        <f aca="false">I79</f>
        <v>0</v>
      </c>
      <c r="Q79" s="51" t="n">
        <f aca="false">J79</f>
        <v>0</v>
      </c>
      <c r="R79" s="49" t="n">
        <f aca="false">SUM(C79:I79)</f>
        <v>0</v>
      </c>
      <c r="S79" s="39" t="n">
        <f aca="false">R79=B79</f>
        <v>0</v>
      </c>
    </row>
    <row r="80" customFormat="false" ht="11.25" hidden="false" customHeight="true" outlineLevel="0" collapsed="false">
      <c r="A80" s="50" t="s">
        <v>122</v>
      </c>
      <c r="B80" s="45" t="n">
        <f aca="false">SUM(C80:N80)</f>
        <v>0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9"/>
      <c r="P80" s="51" t="n">
        <f aca="false">I80</f>
        <v>0</v>
      </c>
      <c r="Q80" s="51" t="n">
        <f aca="false">J80</f>
        <v>0</v>
      </c>
      <c r="R80" s="49" t="n">
        <f aca="false">SUM(C80:I80)</f>
        <v>0</v>
      </c>
      <c r="S80" s="39" t="n">
        <f aca="false">R80=B80</f>
        <v>1</v>
      </c>
    </row>
    <row r="81" customFormat="false" ht="11.25" hidden="false" customHeight="true" outlineLevel="0" collapsed="false">
      <c r="A81" s="50" t="s">
        <v>123</v>
      </c>
      <c r="B81" s="45" t="n">
        <f aca="false">SUM(C81:N81)</f>
        <v>0</v>
      </c>
      <c r="C81" s="45"/>
      <c r="D81" s="45"/>
      <c r="E81" s="45"/>
      <c r="F81" s="45" t="n">
        <v>13698</v>
      </c>
      <c r="G81" s="45"/>
      <c r="H81" s="45"/>
      <c r="I81" s="45"/>
      <c r="J81" s="45"/>
      <c r="K81" s="45"/>
      <c r="L81" s="45"/>
      <c r="M81" s="45"/>
      <c r="N81" s="45" t="n">
        <v>-13698</v>
      </c>
      <c r="O81" s="49"/>
      <c r="P81" s="51" t="n">
        <f aca="false">I81</f>
        <v>0</v>
      </c>
      <c r="Q81" s="51" t="n">
        <f aca="false">J81</f>
        <v>0</v>
      </c>
      <c r="R81" s="49" t="n">
        <f aca="false">SUM(C81:I81)</f>
        <v>13698</v>
      </c>
      <c r="S81" s="39" t="n">
        <f aca="false">R81=B81</f>
        <v>0</v>
      </c>
    </row>
    <row r="82" customFormat="false" ht="13.5" hidden="false" customHeight="true" outlineLevel="0" collapsed="false">
      <c r="A82" s="44" t="s">
        <v>124</v>
      </c>
      <c r="B82" s="45" t="n">
        <f aca="false">SUM(C82:N82)</f>
        <v>-4634846353</v>
      </c>
      <c r="C82" s="45" t="n">
        <f aca="false">C69+C70-C76</f>
        <v>-200348882</v>
      </c>
      <c r="D82" s="45" t="n">
        <f aca="false">D69+D70-D76</f>
        <v>-180055952</v>
      </c>
      <c r="E82" s="45" t="n">
        <f aca="false">E69+E70-E76</f>
        <v>-271005147</v>
      </c>
      <c r="F82" s="45" t="n">
        <f aca="false">F69+F70-F76</f>
        <v>-201974635</v>
      </c>
      <c r="G82" s="45" t="n">
        <f aca="false">G69+G70-G76</f>
        <v>-223523524</v>
      </c>
      <c r="H82" s="45" t="n">
        <f aca="false">H69+H70-H76</f>
        <v>-122655531</v>
      </c>
      <c r="I82" s="45" t="n">
        <f aca="false">I69+I70-I76</f>
        <v>-203151284</v>
      </c>
      <c r="J82" s="45" t="n">
        <f aca="false">J69+J70-J76</f>
        <v>-196375927</v>
      </c>
      <c r="K82" s="45" t="n">
        <f aca="false">K69+K70-K76</f>
        <v>-271677064</v>
      </c>
      <c r="L82" s="45" t="n">
        <f aca="false">L69+L70-L76</f>
        <v>-220835570</v>
      </c>
      <c r="M82" s="45" t="n">
        <f aca="false">M69+M70-M76</f>
        <v>-141930698</v>
      </c>
      <c r="N82" s="45" t="n">
        <f aca="false">N69+N70-N76</f>
        <v>-2401312139</v>
      </c>
      <c r="O82" s="49"/>
      <c r="P82" s="51" t="n">
        <f aca="false">I82</f>
        <v>-203151284</v>
      </c>
      <c r="Q82" s="51" t="n">
        <f aca="false">J82</f>
        <v>-196375927</v>
      </c>
      <c r="R82" s="49" t="n">
        <f aca="false">SUM(C82:I82)</f>
        <v>-1402714955</v>
      </c>
      <c r="S82" s="39" t="n">
        <f aca="false">R82=B82</f>
        <v>0</v>
      </c>
    </row>
    <row r="83" customFormat="false" ht="13.5" hidden="false" customHeight="true" outlineLevel="0" collapsed="false">
      <c r="A83" s="44" t="s">
        <v>125</v>
      </c>
      <c r="B83" s="45" t="n">
        <f aca="false">SUM(C83:N83)</f>
        <v>0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9"/>
      <c r="P83" s="51" t="n">
        <f aca="false">I83</f>
        <v>0</v>
      </c>
      <c r="Q83" s="51" t="n">
        <f aca="false">J83</f>
        <v>0</v>
      </c>
      <c r="R83" s="49" t="n">
        <f aca="false">SUM(C83:I83)</f>
        <v>0</v>
      </c>
      <c r="S83" s="39" t="n">
        <f aca="false">R83=B83</f>
        <v>1</v>
      </c>
    </row>
    <row r="84" customFormat="false" ht="13.5" hidden="false" customHeight="true" outlineLevel="0" collapsed="false">
      <c r="A84" s="44" t="s">
        <v>126</v>
      </c>
      <c r="B84" s="63" t="n">
        <f aca="false">SUM(C84:N84)</f>
        <v>-4634846353</v>
      </c>
      <c r="C84" s="64" t="n">
        <f aca="false">C82-C83</f>
        <v>-200348882</v>
      </c>
      <c r="D84" s="63" t="n">
        <f aca="false">D82-D83</f>
        <v>-180055952</v>
      </c>
      <c r="E84" s="63" t="n">
        <f aca="false">E82-E83</f>
        <v>-271005147</v>
      </c>
      <c r="F84" s="64" t="n">
        <f aca="false">F82-F83</f>
        <v>-201974635</v>
      </c>
      <c r="G84" s="63" t="n">
        <f aca="false">G82-G83</f>
        <v>-223523524</v>
      </c>
      <c r="H84" s="65" t="n">
        <f aca="false">H82-H83</f>
        <v>-122655531</v>
      </c>
      <c r="I84" s="64" t="n">
        <f aca="false">I82-I83</f>
        <v>-203151284</v>
      </c>
      <c r="J84" s="65" t="n">
        <f aca="false">J82-J83</f>
        <v>-196375927</v>
      </c>
      <c r="K84" s="65" t="n">
        <f aca="false">K82-K83</f>
        <v>-271677064</v>
      </c>
      <c r="L84" s="65" t="n">
        <f aca="false">L82-L83</f>
        <v>-220835570</v>
      </c>
      <c r="M84" s="65" t="n">
        <f aca="false">M82-M83</f>
        <v>-141930698</v>
      </c>
      <c r="N84" s="65" t="n">
        <f aca="false">N82-N83</f>
        <v>-2401312139</v>
      </c>
      <c r="O84" s="49"/>
      <c r="P84" s="51" t="n">
        <f aca="false">I84</f>
        <v>-203151284</v>
      </c>
      <c r="Q84" s="51" t="n">
        <f aca="false">J84</f>
        <v>-196375927</v>
      </c>
      <c r="R84" s="49" t="n">
        <f aca="false">SUM(C84:I84)</f>
        <v>-1402714955</v>
      </c>
      <c r="S84" s="39" t="n">
        <f aca="false">R84=B84</f>
        <v>0</v>
      </c>
    </row>
    <row r="85" customFormat="false" ht="11.25" hidden="false" customHeight="true" outlineLevel="0" collapsed="false"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R85" s="49"/>
    </row>
    <row r="86" customFormat="false" ht="11.25" hidden="false" customHeight="true" outlineLevel="0" collapsed="false"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customFormat="false" ht="11.25" hidden="false" customHeight="true" outlineLevel="0" collapsed="false">
      <c r="H87" s="51"/>
      <c r="I87" s="51"/>
    </row>
    <row r="88" customFormat="false" ht="11.25" hidden="false" customHeight="true" outlineLevel="0" collapsed="false">
      <c r="H88" s="51"/>
      <c r="I88" s="51"/>
    </row>
    <row r="89" customFormat="false" ht="11.25" hidden="false" customHeight="true" outlineLevel="0" collapsed="false">
      <c r="O89" s="66" t="s">
        <v>127</v>
      </c>
      <c r="P89" s="51" t="n">
        <f aca="false">SUM(P48:P51)</f>
        <v>26466823</v>
      </c>
      <c r="Q89" s="51" t="n">
        <f aca="false">SUM(Q48:Q51)</f>
        <v>24243907</v>
      </c>
      <c r="R89" s="51" t="n">
        <f aca="false">SUM(R48:R51)</f>
        <v>176248050</v>
      </c>
    </row>
    <row r="90" customFormat="false" ht="11.25" hidden="false" customHeight="true" outlineLevel="0" collapsed="false">
      <c r="O90" s="66" t="s">
        <v>128</v>
      </c>
      <c r="P90" s="51"/>
      <c r="Q90" s="51"/>
      <c r="R90" s="51"/>
    </row>
    <row r="91" customFormat="false" ht="11.25" hidden="false" customHeight="true" outlineLevel="0" collapsed="false">
      <c r="O91" s="66" t="s">
        <v>129</v>
      </c>
      <c r="P91" s="51" t="n">
        <f aca="false">+P47-P89-P92</f>
        <v>6647263</v>
      </c>
      <c r="Q91" s="51" t="n">
        <f aca="false">+Q47-Q89-Q92</f>
        <v>6208234</v>
      </c>
      <c r="R91" s="51" t="n">
        <f aca="false">+R47-R89-R92</f>
        <v>123404473</v>
      </c>
    </row>
    <row r="92" customFormat="false" ht="11.25" hidden="false" customHeight="true" outlineLevel="0" collapsed="false">
      <c r="O92" s="66" t="s">
        <v>130</v>
      </c>
      <c r="P92" s="51" t="n">
        <f aca="false">+P58</f>
        <v>301130</v>
      </c>
      <c r="Q92" s="51" t="n">
        <f aca="false">+Q58</f>
        <v>301130</v>
      </c>
      <c r="R92" s="51" t="n">
        <f aca="false">+R58</f>
        <v>2107910</v>
      </c>
    </row>
  </sheetData>
  <printOptions headings="false" gridLines="false" gridLinesSet="true" horizontalCentered="false" verticalCentered="false"/>
  <pageMargins left="0.39375" right="0.196527777777778" top="0.511805555555556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AA29"/>
  <sheetViews>
    <sheetView showFormulas="false" showGridLines="false" showRowColHeaders="true" showZeros="true" rightToLeft="false" tabSelected="false" showOutlineSymbols="true" defaultGridColor="true" view="normal" topLeftCell="B1" colorId="64" zoomScale="70" zoomScaleNormal="70" zoomScalePageLayoutView="100" workbookViewId="0">
      <pane xSplit="0" ySplit="2" topLeftCell="A3" activePane="bottomLeft" state="frozen"/>
      <selection pane="topLeft" activeCell="B1" activeCellId="0" sqref="B1"/>
      <selection pane="bottomLeft" activeCell="C14" activeCellId="0" sqref="C14"/>
    </sheetView>
  </sheetViews>
  <sheetFormatPr defaultColWidth="9" defaultRowHeight="14.25" zeroHeight="false" outlineLevelRow="0" outlineLevelCol="0"/>
  <cols>
    <col collapsed="false" customWidth="true" hidden="false" outlineLevel="0" max="1" min="1" style="499" width="1.6"/>
    <col collapsed="false" customWidth="true" hidden="false" outlineLevel="0" max="2" min="2" style="499" width="20.6"/>
    <col collapsed="false" customWidth="true" hidden="false" outlineLevel="0" max="3" min="3" style="500" width="10.6"/>
    <col collapsed="false" customWidth="true" hidden="false" outlineLevel="0" max="4" min="4" style="501" width="10.6"/>
    <col collapsed="false" customWidth="true" hidden="false" outlineLevel="0" max="5" min="5" style="500" width="8.2"/>
    <col collapsed="false" customWidth="true" hidden="false" outlineLevel="0" max="6" min="6" style="501" width="8.2"/>
    <col collapsed="false" customWidth="true" hidden="false" outlineLevel="0" max="7" min="7" style="500" width="10.6"/>
    <col collapsed="false" customWidth="true" hidden="false" outlineLevel="0" max="10" min="8" style="501" width="10.6"/>
    <col collapsed="false" customWidth="true" hidden="false" outlineLevel="0" max="11" min="11" style="501" width="6.4"/>
    <col collapsed="false" customWidth="true" hidden="false" outlineLevel="0" max="12" min="12" style="502" width="6.4"/>
    <col collapsed="false" customWidth="true" hidden="false" outlineLevel="0" max="13" min="13" style="502" width="6"/>
    <col collapsed="false" customWidth="true" hidden="false" outlineLevel="0" max="14" min="14" style="502" width="9.4"/>
    <col collapsed="false" customWidth="true" hidden="false" outlineLevel="0" max="18" min="15" style="502" width="10.6"/>
    <col collapsed="false" customWidth="true" hidden="false" outlineLevel="0" max="20" min="19" style="502" width="7.7"/>
    <col collapsed="false" customWidth="true" hidden="false" outlineLevel="0" max="21" min="21" style="502" width="12"/>
    <col collapsed="false" customWidth="true" hidden="false" outlineLevel="0" max="22" min="22" style="499" width="11.4"/>
    <col collapsed="false" customWidth="false" hidden="false" outlineLevel="0" max="16384" min="23" style="499" width="9"/>
  </cols>
  <sheetData>
    <row r="1" customFormat="false" ht="29.25" hidden="false" customHeight="true" outlineLevel="0" collapsed="false">
      <c r="A1" s="2"/>
      <c r="B1" s="503" t="s">
        <v>391</v>
      </c>
      <c r="C1" s="2"/>
      <c r="D1" s="2"/>
      <c r="E1" s="2"/>
      <c r="F1" s="2"/>
      <c r="G1" s="2"/>
      <c r="H1" s="2"/>
      <c r="I1" s="504"/>
      <c r="J1" s="504"/>
      <c r="K1" s="504"/>
      <c r="L1" s="2"/>
      <c r="M1" s="2"/>
      <c r="N1" s="2"/>
      <c r="O1" s="2"/>
      <c r="P1" s="2"/>
      <c r="Q1" s="2"/>
      <c r="R1" s="2"/>
      <c r="S1" s="2"/>
      <c r="T1" s="2"/>
      <c r="U1" s="2"/>
      <c r="V1" s="504"/>
      <c r="W1" s="2"/>
      <c r="X1" s="2"/>
      <c r="Y1" s="2"/>
      <c r="Z1" s="2"/>
      <c r="AA1" s="2"/>
    </row>
    <row r="2" s="508" customFormat="true" ht="6" hidden="false" customHeight="true" outlineLevel="0" collapsed="false">
      <c r="A2" s="505"/>
      <c r="B2" s="506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499"/>
      <c r="X2" s="499"/>
      <c r="Y2" s="499"/>
      <c r="Z2" s="499"/>
      <c r="AA2" s="499"/>
    </row>
    <row r="3" s="509" customFormat="true" ht="24.75" hidden="false" customHeight="true" outlineLevel="0" collapsed="false">
      <c r="V3" s="510"/>
    </row>
    <row r="4" s="511" customFormat="true" ht="24.75" hidden="false" customHeight="true" outlineLevel="0" collapsed="false">
      <c r="B4" s="512" t="s">
        <v>392</v>
      </c>
      <c r="C4" s="513"/>
      <c r="D4" s="513"/>
      <c r="E4" s="514"/>
      <c r="F4" s="514"/>
      <c r="G4" s="514"/>
      <c r="H4" s="514"/>
      <c r="I4" s="514"/>
      <c r="J4" s="514"/>
      <c r="K4" s="514"/>
      <c r="L4" s="515"/>
      <c r="M4" s="515"/>
      <c r="N4" s="515"/>
      <c r="O4" s="515"/>
      <c r="P4" s="515"/>
      <c r="Q4" s="515"/>
      <c r="R4" s="515"/>
      <c r="S4" s="515"/>
      <c r="T4" s="515"/>
      <c r="U4" s="515"/>
      <c r="V4" s="515"/>
    </row>
    <row r="5" s="509" customFormat="true" ht="24.75" hidden="false" customHeight="true" outlineLevel="0" collapsed="false">
      <c r="B5" s="516" t="s">
        <v>222</v>
      </c>
      <c r="C5" s="517" t="s">
        <v>393</v>
      </c>
      <c r="D5" s="517"/>
      <c r="E5" s="517"/>
      <c r="F5" s="517"/>
      <c r="G5" s="517"/>
      <c r="H5" s="517"/>
      <c r="I5" s="517"/>
      <c r="J5" s="517"/>
      <c r="K5" s="517"/>
      <c r="L5" s="517"/>
      <c r="M5" s="517" t="s">
        <v>394</v>
      </c>
      <c r="N5" s="517"/>
      <c r="O5" s="517"/>
      <c r="P5" s="517"/>
      <c r="Q5" s="517"/>
      <c r="R5" s="517"/>
      <c r="S5" s="517"/>
      <c r="T5" s="517"/>
      <c r="U5" s="517"/>
      <c r="V5" s="517"/>
    </row>
    <row r="6" s="509" customFormat="true" ht="24.75" hidden="false" customHeight="true" outlineLevel="0" collapsed="false">
      <c r="B6" s="516"/>
      <c r="C6" s="516" t="s">
        <v>395</v>
      </c>
      <c r="D6" s="516"/>
      <c r="E6" s="516"/>
      <c r="F6" s="516"/>
      <c r="G6" s="516"/>
      <c r="H6" s="516"/>
      <c r="I6" s="516"/>
      <c r="J6" s="516"/>
      <c r="K6" s="516"/>
      <c r="L6" s="516"/>
      <c r="M6" s="516" t="s">
        <v>395</v>
      </c>
      <c r="N6" s="516"/>
      <c r="O6" s="516"/>
      <c r="P6" s="516"/>
      <c r="Q6" s="516"/>
      <c r="R6" s="516"/>
      <c r="S6" s="516"/>
      <c r="T6" s="516"/>
      <c r="U6" s="516"/>
      <c r="V6" s="516"/>
    </row>
    <row r="7" s="509" customFormat="true" ht="33" hidden="false" customHeight="true" outlineLevel="0" collapsed="false">
      <c r="B7" s="518" t="s">
        <v>262</v>
      </c>
      <c r="C7" s="519" t="s">
        <v>396</v>
      </c>
      <c r="D7" s="519"/>
      <c r="E7" s="519"/>
      <c r="F7" s="519"/>
      <c r="G7" s="519"/>
      <c r="H7" s="519"/>
      <c r="I7" s="519"/>
      <c r="J7" s="519"/>
      <c r="K7" s="519"/>
      <c r="L7" s="519"/>
      <c r="M7" s="519" t="s">
        <v>396</v>
      </c>
      <c r="N7" s="519"/>
      <c r="O7" s="519"/>
      <c r="P7" s="519"/>
      <c r="Q7" s="519"/>
      <c r="R7" s="519"/>
      <c r="S7" s="519"/>
      <c r="T7" s="519"/>
      <c r="U7" s="519"/>
      <c r="V7" s="519"/>
    </row>
    <row r="8" s="509" customFormat="true" ht="33" hidden="false" customHeight="true" outlineLevel="0" collapsed="false">
      <c r="B8" s="518"/>
      <c r="C8" s="520" t="s">
        <v>397</v>
      </c>
      <c r="D8" s="520"/>
      <c r="E8" s="520"/>
      <c r="F8" s="520"/>
      <c r="G8" s="520"/>
      <c r="H8" s="520"/>
      <c r="I8" s="520"/>
      <c r="J8" s="520"/>
      <c r="K8" s="520"/>
      <c r="L8" s="520"/>
      <c r="M8" s="520" t="s">
        <v>398</v>
      </c>
      <c r="N8" s="520"/>
      <c r="O8" s="520"/>
      <c r="P8" s="520"/>
      <c r="Q8" s="520"/>
      <c r="R8" s="520"/>
      <c r="S8" s="520"/>
      <c r="T8" s="520"/>
      <c r="U8" s="520"/>
      <c r="V8" s="520"/>
    </row>
    <row r="9" s="509" customFormat="true" ht="33" hidden="false" customHeight="true" outlineLevel="0" collapsed="false">
      <c r="B9" s="518"/>
      <c r="C9" s="521"/>
      <c r="D9" s="522"/>
      <c r="E9" s="522"/>
      <c r="F9" s="522"/>
      <c r="G9" s="522"/>
      <c r="H9" s="522"/>
      <c r="I9" s="522"/>
      <c r="J9" s="522"/>
      <c r="K9" s="522"/>
      <c r="L9" s="523"/>
      <c r="M9" s="521"/>
      <c r="N9" s="522"/>
      <c r="O9" s="522"/>
      <c r="P9" s="522"/>
      <c r="Q9" s="522"/>
      <c r="R9" s="522"/>
      <c r="S9" s="522"/>
      <c r="T9" s="522"/>
      <c r="U9" s="522"/>
      <c r="V9" s="523"/>
    </row>
    <row r="10" s="509" customFormat="true" ht="33" hidden="false" customHeight="true" outlineLevel="0" collapsed="false">
      <c r="B10" s="518"/>
      <c r="C10" s="524" t="s">
        <v>399</v>
      </c>
      <c r="D10" s="524"/>
      <c r="E10" s="524"/>
      <c r="F10" s="524"/>
      <c r="G10" s="524"/>
      <c r="H10" s="524"/>
      <c r="I10" s="524"/>
      <c r="J10" s="524"/>
      <c r="K10" s="524"/>
      <c r="L10" s="524"/>
      <c r="M10" s="524" t="s">
        <v>399</v>
      </c>
      <c r="N10" s="524"/>
      <c r="O10" s="524"/>
      <c r="P10" s="524"/>
      <c r="Q10" s="524"/>
      <c r="R10" s="524"/>
      <c r="S10" s="524"/>
      <c r="T10" s="524"/>
      <c r="U10" s="524"/>
      <c r="V10" s="524"/>
    </row>
    <row r="11" s="509" customFormat="true" ht="33" hidden="false" customHeight="true" outlineLevel="0" collapsed="false">
      <c r="B11" s="518"/>
      <c r="C11" s="520" t="s">
        <v>400</v>
      </c>
      <c r="D11" s="520"/>
      <c r="E11" s="520"/>
      <c r="F11" s="520"/>
      <c r="G11" s="520"/>
      <c r="H11" s="520"/>
      <c r="I11" s="520"/>
      <c r="J11" s="520"/>
      <c r="K11" s="520"/>
      <c r="L11" s="520"/>
      <c r="M11" s="520" t="s">
        <v>401</v>
      </c>
      <c r="N11" s="520"/>
      <c r="O11" s="520"/>
      <c r="P11" s="520"/>
      <c r="Q11" s="520"/>
      <c r="R11" s="520"/>
      <c r="S11" s="520"/>
      <c r="T11" s="520"/>
      <c r="U11" s="520"/>
      <c r="V11" s="520"/>
    </row>
    <row r="12" s="509" customFormat="true" ht="33" hidden="false" customHeight="true" outlineLevel="0" collapsed="false">
      <c r="B12" s="518"/>
      <c r="C12" s="520" t="s">
        <v>402</v>
      </c>
      <c r="D12" s="520"/>
      <c r="E12" s="520"/>
      <c r="F12" s="520"/>
      <c r="G12" s="520"/>
      <c r="H12" s="520"/>
      <c r="I12" s="520"/>
      <c r="J12" s="520"/>
      <c r="K12" s="520"/>
      <c r="L12" s="520"/>
      <c r="M12" s="520" t="s">
        <v>403</v>
      </c>
      <c r="N12" s="520"/>
      <c r="O12" s="520"/>
      <c r="P12" s="520"/>
      <c r="Q12" s="520"/>
      <c r="R12" s="520"/>
      <c r="S12" s="520"/>
      <c r="T12" s="520"/>
      <c r="U12" s="520"/>
      <c r="V12" s="520"/>
    </row>
    <row r="13" s="509" customFormat="true" ht="33" hidden="false" customHeight="true" outlineLevel="0" collapsed="false">
      <c r="B13" s="518"/>
      <c r="C13" s="520"/>
      <c r="D13" s="520"/>
      <c r="E13" s="520"/>
      <c r="F13" s="520"/>
      <c r="G13" s="520"/>
      <c r="H13" s="520"/>
      <c r="I13" s="520"/>
      <c r="J13" s="520"/>
      <c r="K13" s="520"/>
      <c r="L13" s="520"/>
      <c r="M13" s="520" t="s">
        <v>404</v>
      </c>
      <c r="N13" s="520"/>
      <c r="O13" s="520"/>
      <c r="P13" s="520"/>
      <c r="Q13" s="520"/>
      <c r="R13" s="520"/>
      <c r="S13" s="520"/>
      <c r="T13" s="520"/>
      <c r="U13" s="520"/>
      <c r="V13" s="520"/>
    </row>
    <row r="14" s="509" customFormat="true" ht="33" hidden="false" customHeight="true" outlineLevel="0" collapsed="false">
      <c r="B14" s="518"/>
      <c r="C14" s="520" t="s">
        <v>405</v>
      </c>
      <c r="D14" s="520"/>
      <c r="E14" s="520"/>
      <c r="F14" s="520"/>
      <c r="G14" s="520"/>
      <c r="H14" s="520"/>
      <c r="I14" s="520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</row>
    <row r="15" s="509" customFormat="true" ht="33" hidden="false" customHeight="true" outlineLevel="0" collapsed="false">
      <c r="B15" s="518"/>
      <c r="C15" s="520" t="s">
        <v>406</v>
      </c>
      <c r="D15" s="520"/>
      <c r="E15" s="520"/>
      <c r="F15" s="520"/>
      <c r="G15" s="520"/>
      <c r="H15" s="520"/>
      <c r="I15" s="520"/>
      <c r="J15" s="520"/>
      <c r="K15" s="520"/>
      <c r="L15" s="520"/>
      <c r="M15" s="524" t="s">
        <v>407</v>
      </c>
      <c r="N15" s="524"/>
      <c r="O15" s="524"/>
      <c r="P15" s="524"/>
      <c r="Q15" s="524"/>
      <c r="R15" s="524"/>
      <c r="S15" s="524"/>
      <c r="T15" s="524"/>
      <c r="U15" s="524"/>
      <c r="V15" s="524"/>
    </row>
    <row r="16" s="509" customFormat="true" ht="33" hidden="false" customHeight="true" outlineLevel="0" collapsed="false">
      <c r="B16" s="518"/>
      <c r="C16" s="520" t="s">
        <v>408</v>
      </c>
      <c r="D16" s="520"/>
      <c r="E16" s="520"/>
      <c r="F16" s="520"/>
      <c r="G16" s="520"/>
      <c r="H16" s="520"/>
      <c r="I16" s="520"/>
      <c r="J16" s="520"/>
      <c r="K16" s="520"/>
      <c r="L16" s="520"/>
      <c r="M16" s="520" t="s">
        <v>409</v>
      </c>
      <c r="N16" s="520"/>
      <c r="O16" s="520"/>
      <c r="P16" s="520"/>
      <c r="Q16" s="520"/>
      <c r="R16" s="520"/>
      <c r="S16" s="520"/>
      <c r="T16" s="520"/>
      <c r="U16" s="520"/>
      <c r="V16" s="520"/>
    </row>
    <row r="17" s="509" customFormat="true" ht="24.75" hidden="false" customHeight="true" outlineLevel="0" collapsed="false">
      <c r="B17" s="518"/>
      <c r="C17" s="520"/>
      <c r="D17" s="520"/>
      <c r="E17" s="520"/>
      <c r="F17" s="520"/>
      <c r="G17" s="520"/>
      <c r="H17" s="520"/>
      <c r="I17" s="520"/>
      <c r="J17" s="520"/>
      <c r="K17" s="520"/>
      <c r="L17" s="520"/>
      <c r="M17" s="520" t="s">
        <v>410</v>
      </c>
      <c r="N17" s="520"/>
      <c r="O17" s="520"/>
      <c r="P17" s="520"/>
      <c r="Q17" s="520"/>
      <c r="R17" s="520"/>
      <c r="S17" s="520"/>
      <c r="T17" s="520"/>
      <c r="U17" s="520"/>
      <c r="V17" s="520"/>
    </row>
    <row r="18" s="509" customFormat="true" ht="24.75" hidden="false" customHeight="true" outlineLevel="0" collapsed="false">
      <c r="B18" s="518"/>
      <c r="C18" s="524" t="s">
        <v>407</v>
      </c>
      <c r="D18" s="524"/>
      <c r="E18" s="524"/>
      <c r="F18" s="524"/>
      <c r="G18" s="524"/>
      <c r="H18" s="524"/>
      <c r="I18" s="524"/>
      <c r="J18" s="524"/>
      <c r="K18" s="524"/>
      <c r="L18" s="524"/>
      <c r="M18" s="520"/>
      <c r="N18" s="520"/>
      <c r="O18" s="520"/>
      <c r="P18" s="520"/>
      <c r="Q18" s="520"/>
      <c r="R18" s="520"/>
      <c r="S18" s="520"/>
      <c r="T18" s="520"/>
      <c r="U18" s="520"/>
      <c r="V18" s="520"/>
    </row>
    <row r="19" s="509" customFormat="true" ht="24.75" hidden="false" customHeight="true" outlineLevel="0" collapsed="false">
      <c r="B19" s="518"/>
      <c r="C19" s="520" t="s">
        <v>411</v>
      </c>
      <c r="D19" s="520"/>
      <c r="E19" s="520"/>
      <c r="F19" s="520"/>
      <c r="G19" s="520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</row>
    <row r="20" s="509" customFormat="true" ht="24.75" hidden="false" customHeight="true" outlineLevel="0" collapsed="false">
      <c r="B20" s="518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520"/>
    </row>
    <row r="21" s="509" customFormat="true" ht="24.75" hidden="false" customHeight="true" outlineLevel="0" collapsed="false">
      <c r="B21" s="518"/>
      <c r="C21" s="525"/>
      <c r="D21" s="525"/>
      <c r="E21" s="525"/>
      <c r="F21" s="525"/>
      <c r="G21" s="525"/>
      <c r="H21" s="525"/>
      <c r="I21" s="525"/>
      <c r="J21" s="525"/>
      <c r="K21" s="525"/>
      <c r="L21" s="525"/>
      <c r="M21" s="525"/>
      <c r="N21" s="525"/>
      <c r="O21" s="525"/>
      <c r="P21" s="525"/>
      <c r="Q21" s="525"/>
      <c r="R21" s="525"/>
      <c r="S21" s="525"/>
      <c r="T21" s="525"/>
      <c r="U21" s="525"/>
      <c r="V21" s="525"/>
    </row>
    <row r="22" s="509" customFormat="true" ht="19.5" hidden="false" customHeight="true" outlineLevel="0" collapsed="false">
      <c r="B22" s="526"/>
      <c r="C22" s="527"/>
      <c r="D22" s="527"/>
      <c r="E22" s="527"/>
      <c r="F22" s="527"/>
      <c r="G22" s="527"/>
      <c r="H22" s="527"/>
      <c r="I22" s="527"/>
      <c r="J22" s="527"/>
      <c r="K22" s="528"/>
      <c r="L22" s="529"/>
      <c r="M22" s="530"/>
      <c r="N22" s="530"/>
      <c r="O22" s="530"/>
      <c r="P22" s="530"/>
      <c r="Q22" s="530"/>
      <c r="R22" s="530"/>
      <c r="S22" s="530"/>
      <c r="T22" s="530"/>
      <c r="U22" s="530"/>
      <c r="V22" s="529"/>
    </row>
    <row r="23" s="509" customFormat="true" ht="15" hidden="false" customHeight="true" outlineLevel="0" collapsed="false">
      <c r="B23" s="526"/>
      <c r="C23" s="527"/>
      <c r="D23" s="527"/>
      <c r="E23" s="527"/>
      <c r="F23" s="527"/>
      <c r="G23" s="527"/>
      <c r="H23" s="527"/>
      <c r="I23" s="527"/>
      <c r="J23" s="527"/>
      <c r="K23" s="528"/>
      <c r="L23" s="529"/>
      <c r="M23" s="527"/>
      <c r="N23" s="527"/>
      <c r="O23" s="527"/>
      <c r="P23" s="527"/>
      <c r="Q23" s="527"/>
      <c r="R23" s="527"/>
      <c r="S23" s="527"/>
      <c r="T23" s="527"/>
      <c r="U23" s="527"/>
      <c r="V23" s="529"/>
    </row>
    <row r="24" s="509" customFormat="true" ht="15" hidden="false" customHeight="true" outlineLevel="0" collapsed="false">
      <c r="B24" s="526"/>
      <c r="C24" s="531"/>
      <c r="D24" s="532"/>
      <c r="E24" s="531"/>
      <c r="F24" s="532"/>
      <c r="G24" s="531"/>
      <c r="H24" s="532"/>
      <c r="I24" s="532"/>
      <c r="J24" s="532"/>
      <c r="K24" s="532"/>
      <c r="L24" s="533"/>
      <c r="M24" s="527"/>
      <c r="N24" s="527"/>
      <c r="O24" s="527"/>
      <c r="P24" s="527"/>
      <c r="Q24" s="527"/>
      <c r="R24" s="527"/>
      <c r="S24" s="527"/>
      <c r="T24" s="527"/>
      <c r="U24" s="527"/>
      <c r="V24" s="529"/>
    </row>
    <row r="25" s="509" customFormat="true" ht="18" hidden="false" customHeight="true" outlineLevel="0" collapsed="false">
      <c r="B25" s="526"/>
      <c r="C25" s="531"/>
      <c r="D25" s="532"/>
      <c r="E25" s="531"/>
      <c r="F25" s="532"/>
      <c r="G25" s="531"/>
      <c r="H25" s="532"/>
      <c r="I25" s="532"/>
      <c r="J25" s="532"/>
      <c r="K25" s="532"/>
      <c r="L25" s="533"/>
      <c r="M25" s="527"/>
      <c r="N25" s="527"/>
      <c r="O25" s="527"/>
      <c r="P25" s="527"/>
      <c r="Q25" s="527"/>
      <c r="R25" s="527"/>
      <c r="S25" s="527"/>
      <c r="T25" s="527"/>
      <c r="U25" s="527"/>
      <c r="V25" s="529"/>
    </row>
    <row r="26" s="509" customFormat="true" ht="18" hidden="false" customHeight="true" outlineLevel="0" collapsed="false">
      <c r="B26" s="526"/>
      <c r="C26" s="500"/>
      <c r="D26" s="501"/>
      <c r="E26" s="500"/>
      <c r="F26" s="501"/>
      <c r="G26" s="500"/>
      <c r="H26" s="501"/>
      <c r="I26" s="501"/>
      <c r="J26" s="501"/>
      <c r="K26" s="501"/>
      <c r="L26" s="502"/>
      <c r="M26" s="527"/>
      <c r="N26" s="527"/>
      <c r="O26" s="527"/>
      <c r="P26" s="527"/>
      <c r="Q26" s="527"/>
      <c r="R26" s="527"/>
      <c r="S26" s="527"/>
      <c r="T26" s="527"/>
      <c r="U26" s="527"/>
      <c r="V26" s="529"/>
    </row>
    <row r="27" s="509" customFormat="true" ht="18" hidden="false" customHeight="true" outlineLevel="0" collapsed="false">
      <c r="B27" s="526"/>
      <c r="C27" s="500"/>
      <c r="D27" s="501"/>
      <c r="E27" s="500"/>
      <c r="F27" s="501"/>
      <c r="G27" s="500"/>
      <c r="H27" s="501"/>
      <c r="I27" s="501"/>
      <c r="J27" s="501"/>
      <c r="K27" s="501"/>
      <c r="L27" s="502"/>
      <c r="M27" s="533"/>
      <c r="N27" s="533"/>
      <c r="O27" s="533"/>
      <c r="P27" s="533"/>
      <c r="Q27" s="533"/>
      <c r="R27" s="533"/>
      <c r="S27" s="533"/>
      <c r="T27" s="533"/>
      <c r="U27" s="533"/>
      <c r="V27" s="534"/>
    </row>
    <row r="28" customFormat="false" ht="14.25" hidden="false" customHeight="true" outlineLevel="0" collapsed="false">
      <c r="B28" s="534"/>
      <c r="M28" s="533"/>
      <c r="N28" s="533"/>
      <c r="O28" s="533"/>
      <c r="P28" s="533"/>
      <c r="Q28" s="533"/>
      <c r="R28" s="533"/>
      <c r="S28" s="533"/>
      <c r="T28" s="533"/>
      <c r="U28" s="533"/>
      <c r="V28" s="534"/>
    </row>
    <row r="29" s="500" customFormat="true" ht="14.25" hidden="false" customHeight="true" outlineLevel="0" collapsed="false">
      <c r="A29" s="499"/>
      <c r="B29" s="534"/>
      <c r="D29" s="501"/>
      <c r="F29" s="501"/>
      <c r="H29" s="501"/>
      <c r="I29" s="501"/>
      <c r="J29" s="501"/>
      <c r="K29" s="501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499"/>
      <c r="W29" s="499"/>
      <c r="X29" s="499"/>
      <c r="Y29" s="499"/>
      <c r="Z29" s="499"/>
      <c r="AA29" s="499"/>
    </row>
  </sheetData>
  <mergeCells count="41">
    <mergeCell ref="B5:B6"/>
    <mergeCell ref="C5:L5"/>
    <mergeCell ref="M5:V5"/>
    <mergeCell ref="C6:L6"/>
    <mergeCell ref="M6:V6"/>
    <mergeCell ref="B7:B21"/>
    <mergeCell ref="C7:L7"/>
    <mergeCell ref="M7:V7"/>
    <mergeCell ref="C8:L8"/>
    <mergeCell ref="M8:V8"/>
    <mergeCell ref="C10:L10"/>
    <mergeCell ref="M10:V10"/>
    <mergeCell ref="C11:L11"/>
    <mergeCell ref="M11:V11"/>
    <mergeCell ref="C12:L12"/>
    <mergeCell ref="M12:V12"/>
    <mergeCell ref="C13:L13"/>
    <mergeCell ref="M13:V13"/>
    <mergeCell ref="C14:L14"/>
    <mergeCell ref="M14:V14"/>
    <mergeCell ref="C15:L15"/>
    <mergeCell ref="M15:V15"/>
    <mergeCell ref="C16:L16"/>
    <mergeCell ref="M16:V16"/>
    <mergeCell ref="C17:L17"/>
    <mergeCell ref="M17:V17"/>
    <mergeCell ref="C18:L18"/>
    <mergeCell ref="M18:V18"/>
    <mergeCell ref="C19:L19"/>
    <mergeCell ref="M19:V19"/>
    <mergeCell ref="C20:L20"/>
    <mergeCell ref="M20:V20"/>
    <mergeCell ref="C21:L21"/>
    <mergeCell ref="M21:V21"/>
    <mergeCell ref="C22:J22"/>
    <mergeCell ref="M22:U22"/>
    <mergeCell ref="C23:J23"/>
    <mergeCell ref="M23:U23"/>
    <mergeCell ref="M24:U24"/>
    <mergeCell ref="M25:U25"/>
    <mergeCell ref="M26:U26"/>
  </mergeCells>
  <conditionalFormatting sqref="M7:M21">
    <cfRule type="cellIs" priority="2" operator="lessThan" aboveAverage="0" equalAverage="0" bottom="0" percent="0" rank="0" text="" dxfId="0">
      <formula>0</formula>
    </cfRule>
  </conditionalFormatting>
  <conditionalFormatting sqref="C7:C21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629861111111111" right="0.0395833333333333" top="0.472222222222222" bottom="0.039583333333333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4" activeCellId="0" sqref="C14"/>
    </sheetView>
  </sheetViews>
  <sheetFormatPr defaultColWidth="12.5" defaultRowHeight="10.5" zeroHeight="false" outlineLevelRow="0" outlineLevelCol="0"/>
  <cols>
    <col collapsed="false" customWidth="true" hidden="false" outlineLevel="0" max="1" min="1" style="39" width="23.9"/>
    <col collapsed="false" customWidth="true" hidden="false" outlineLevel="0" max="2" min="2" style="39" width="13.1"/>
    <col collapsed="false" customWidth="true" hidden="false" outlineLevel="0" max="14" min="3" style="39" width="12.7"/>
    <col collapsed="false" customWidth="true" hidden="false" outlineLevel="0" max="15" min="15" style="39" width="5.1"/>
    <col collapsed="false" customWidth="true" hidden="true" outlineLevel="0" max="16" min="16" style="39" width="13.7"/>
    <col collapsed="false" customWidth="true" hidden="false" outlineLevel="0" max="17" min="17" style="39" width="14.7"/>
    <col collapsed="false" customWidth="true" hidden="false" outlineLevel="0" max="18" min="18" style="39" width="5"/>
    <col collapsed="false" customWidth="true" hidden="false" outlineLevel="0" max="19" min="19" style="39" width="12"/>
    <col collapsed="false" customWidth="false" hidden="false" outlineLevel="0" max="16384" min="20" style="39" width="12.5"/>
  </cols>
  <sheetData>
    <row r="1" customFormat="false" ht="11.25" hidden="false" customHeight="true" outlineLevel="0" collapsed="false">
      <c r="B1" s="49"/>
      <c r="C1" s="49"/>
    </row>
    <row r="2" customFormat="false" ht="18" hidden="false" customHeight="true" outlineLevel="0" collapsed="false">
      <c r="A2" s="40" t="s">
        <v>36</v>
      </c>
      <c r="B2" s="40" t="s">
        <v>37</v>
      </c>
      <c r="C2" s="42" t="s">
        <v>38</v>
      </c>
      <c r="D2" s="42" t="s">
        <v>39</v>
      </c>
      <c r="E2" s="42" t="s">
        <v>40</v>
      </c>
      <c r="F2" s="42" t="s">
        <v>41</v>
      </c>
      <c r="G2" s="42" t="s">
        <v>42</v>
      </c>
      <c r="H2" s="42" t="s">
        <v>43</v>
      </c>
      <c r="I2" s="42" t="s">
        <v>44</v>
      </c>
      <c r="J2" s="42" t="s">
        <v>45</v>
      </c>
      <c r="K2" s="42" t="s">
        <v>46</v>
      </c>
      <c r="L2" s="42" t="s">
        <v>47</v>
      </c>
      <c r="M2" s="42" t="s">
        <v>48</v>
      </c>
      <c r="N2" s="42" t="s">
        <v>49</v>
      </c>
      <c r="P2" s="43" t="s">
        <v>50</v>
      </c>
      <c r="Q2" s="43" t="s">
        <v>51</v>
      </c>
    </row>
    <row r="3" customFormat="false" ht="17.25" hidden="false" customHeight="true" outlineLevel="0" collapsed="false">
      <c r="A3" s="44" t="s">
        <v>77</v>
      </c>
      <c r="B3" s="45" t="n">
        <f aca="false">SUM(C3:N3)</f>
        <v>6795051033</v>
      </c>
      <c r="C3" s="535" t="n">
        <f aca="false">SUM(C4:C7)</f>
        <v>284712111</v>
      </c>
      <c r="D3" s="535" t="n">
        <f aca="false">SUM(D4:D7)</f>
        <v>507895922</v>
      </c>
      <c r="E3" s="45" t="n">
        <f aca="false">SUM(E4:E7)</f>
        <v>500000000</v>
      </c>
      <c r="F3" s="45" t="n">
        <f aca="false">SUM(F4:F7)</f>
        <v>628327000</v>
      </c>
      <c r="G3" s="45" t="n">
        <f aca="false">SUM(G4:G7)</f>
        <v>630827000</v>
      </c>
      <c r="H3" s="45" t="n">
        <f aca="false">SUM(H4:H7)</f>
        <v>630827000</v>
      </c>
      <c r="I3" s="45" t="n">
        <f aca="false">SUM(I4:I7)</f>
        <v>558327000</v>
      </c>
      <c r="J3" s="45" t="n">
        <f aca="false">SUM(J4:J7)</f>
        <v>340827000</v>
      </c>
      <c r="K3" s="45" t="n">
        <f aca="false">SUM(K4:K7)</f>
        <v>651327000</v>
      </c>
      <c r="L3" s="45" t="n">
        <f aca="false">SUM(L4:L7)</f>
        <v>651327000</v>
      </c>
      <c r="M3" s="45" t="n">
        <f aca="false">SUM(M4:M7)</f>
        <v>759327000</v>
      </c>
      <c r="N3" s="45" t="n">
        <f aca="false">SUM(N4:N7)</f>
        <v>651327000</v>
      </c>
      <c r="O3" s="49"/>
      <c r="P3" s="51" t="n">
        <f aca="false">D3</f>
        <v>507895922</v>
      </c>
      <c r="Q3" s="49" t="n">
        <f aca="false">SUM(C3:N3)</f>
        <v>6795051033</v>
      </c>
      <c r="R3" s="39" t="n">
        <f aca="false">Q3=B3</f>
        <v>1</v>
      </c>
    </row>
    <row r="4" customFormat="false" ht="13.5" hidden="true" customHeight="true" outlineLevel="0" collapsed="false">
      <c r="A4" s="536" t="s">
        <v>412</v>
      </c>
      <c r="B4" s="45" t="n">
        <f aca="false">SUM(C4:N4)</f>
        <v>951064311</v>
      </c>
      <c r="C4" s="535" t="n">
        <v>284712111</v>
      </c>
      <c r="D4" s="535" t="n">
        <v>507895922</v>
      </c>
      <c r="E4" s="45" t="n">
        <f aca="false">-E12</f>
        <v>19742713</v>
      </c>
      <c r="F4" s="45" t="n">
        <f aca="false">-F12</f>
        <v>19742713</v>
      </c>
      <c r="G4" s="45" t="n">
        <f aca="false">-G12</f>
        <v>19742713</v>
      </c>
      <c r="H4" s="45" t="n">
        <f aca="false">-H12</f>
        <v>19742713</v>
      </c>
      <c r="I4" s="45" t="n">
        <f aca="false">-I12</f>
        <v>19742713</v>
      </c>
      <c r="J4" s="45" t="n">
        <f aca="false">-J12</f>
        <v>19742713</v>
      </c>
      <c r="K4" s="45" t="n">
        <f aca="false">-K12</f>
        <v>10000000</v>
      </c>
      <c r="L4" s="45" t="n">
        <f aca="false">-L12</f>
        <v>10000000</v>
      </c>
      <c r="M4" s="45" t="n">
        <f aca="false">-M12</f>
        <v>10000000</v>
      </c>
      <c r="N4" s="45" t="n">
        <f aca="false">-N12</f>
        <v>10000000</v>
      </c>
      <c r="O4" s="49"/>
      <c r="P4" s="51" t="n">
        <f aca="false">D4</f>
        <v>507895922</v>
      </c>
      <c r="Q4" s="49" t="n">
        <f aca="false">SUM(C4:N4)</f>
        <v>951064311</v>
      </c>
      <c r="R4" s="39" t="n">
        <f aca="false">Q4=B4</f>
        <v>1</v>
      </c>
    </row>
    <row r="5" customFormat="false" ht="13.5" hidden="true" customHeight="true" outlineLevel="0" collapsed="false">
      <c r="A5" s="536" t="s">
        <v>413</v>
      </c>
      <c r="B5" s="45" t="n">
        <f aca="false">SUM(C5:N5)</f>
        <v>4194043722</v>
      </c>
      <c r="C5" s="535"/>
      <c r="D5" s="535"/>
      <c r="E5" s="45" t="n">
        <f aca="false">500000000-E4</f>
        <v>480257287</v>
      </c>
      <c r="F5" s="45" t="n">
        <f aca="false">505000000-F4</f>
        <v>485257287</v>
      </c>
      <c r="G5" s="45" t="n">
        <f aca="false">350000*1450-G4</f>
        <v>487757287</v>
      </c>
      <c r="H5" s="45" t="n">
        <f aca="false">350000*1450-H4</f>
        <v>487757287</v>
      </c>
      <c r="I5" s="45" t="n">
        <f aca="false">300000*1450-I4</f>
        <v>415257287</v>
      </c>
      <c r="J5" s="45" t="n">
        <f aca="false">150000*1450-J4</f>
        <v>197757287</v>
      </c>
      <c r="K5" s="45" t="n">
        <f aca="false">420000000-K4</f>
        <v>410000000</v>
      </c>
      <c r="L5" s="45" t="n">
        <f aca="false">420000000-L4</f>
        <v>410000000</v>
      </c>
      <c r="M5" s="45" t="n">
        <f aca="false">420000000-M4</f>
        <v>410000000</v>
      </c>
      <c r="N5" s="45" t="n">
        <f aca="false">420000000-N4</f>
        <v>410000000</v>
      </c>
      <c r="O5" s="49"/>
      <c r="P5" s="51" t="n">
        <f aca="false">D5</f>
        <v>0</v>
      </c>
      <c r="Q5" s="49" t="n">
        <f aca="false">SUM(C5:N5)</f>
        <v>4194043722</v>
      </c>
      <c r="R5" s="39" t="n">
        <f aca="false">Q5=B5</f>
        <v>1</v>
      </c>
    </row>
    <row r="6" customFormat="false" ht="13.5" hidden="true" customHeight="true" outlineLevel="0" collapsed="false">
      <c r="A6" s="536" t="s">
        <v>414</v>
      </c>
      <c r="B6" s="45" t="n">
        <f aca="false">SUM(C6:N6)</f>
        <v>540000000</v>
      </c>
      <c r="C6" s="535"/>
      <c r="D6" s="535"/>
      <c r="E6" s="45"/>
      <c r="F6" s="45"/>
      <c r="G6" s="45"/>
      <c r="H6" s="45"/>
      <c r="I6" s="45"/>
      <c r="J6" s="45"/>
      <c r="K6" s="45" t="n">
        <f aca="false">100000000*1.08</f>
        <v>108000000</v>
      </c>
      <c r="L6" s="45" t="n">
        <f aca="false">100000000*1.08</f>
        <v>108000000</v>
      </c>
      <c r="M6" s="45" t="n">
        <f aca="false">200000000*1.08</f>
        <v>216000000</v>
      </c>
      <c r="N6" s="45" t="n">
        <f aca="false">100000000*1.08</f>
        <v>108000000</v>
      </c>
      <c r="O6" s="49"/>
      <c r="P6" s="51" t="n">
        <f aca="false">D6</f>
        <v>0</v>
      </c>
      <c r="Q6" s="49" t="n">
        <f aca="false">SUM(C6:N6)</f>
        <v>540000000</v>
      </c>
      <c r="R6" s="39" t="n">
        <f aca="false">Q6=B6</f>
        <v>1</v>
      </c>
    </row>
    <row r="7" customFormat="false" ht="13.5" hidden="true" customHeight="true" outlineLevel="0" collapsed="false">
      <c r="A7" s="536" t="s">
        <v>415</v>
      </c>
      <c r="B7" s="45" t="n">
        <f aca="false">SUM(C7:N7)</f>
        <v>1109943000</v>
      </c>
      <c r="C7" s="535"/>
      <c r="D7" s="535"/>
      <c r="E7" s="45"/>
      <c r="F7" s="45" t="n">
        <f aca="false">115800000*1.065</f>
        <v>123327000</v>
      </c>
      <c r="G7" s="45" t="n">
        <f aca="false">115800000*1.065</f>
        <v>123327000</v>
      </c>
      <c r="H7" s="45" t="n">
        <f aca="false">115800000*1.065</f>
        <v>123327000</v>
      </c>
      <c r="I7" s="45" t="n">
        <f aca="false">115800000*1.065</f>
        <v>123327000</v>
      </c>
      <c r="J7" s="45" t="n">
        <f aca="false">115800000*1.065</f>
        <v>123327000</v>
      </c>
      <c r="K7" s="45" t="n">
        <f aca="false">115800000*1.065</f>
        <v>123327000</v>
      </c>
      <c r="L7" s="45" t="n">
        <f aca="false">115800000*1.065</f>
        <v>123327000</v>
      </c>
      <c r="M7" s="45" t="n">
        <f aca="false">115800000*1.065</f>
        <v>123327000</v>
      </c>
      <c r="N7" s="45" t="n">
        <f aca="false">115800000*1.065</f>
        <v>123327000</v>
      </c>
      <c r="O7" s="49"/>
      <c r="P7" s="51" t="n">
        <f aca="false">D7</f>
        <v>0</v>
      </c>
      <c r="Q7" s="49" t="n">
        <f aca="false">SUM(C7:N7)</f>
        <v>1109943000</v>
      </c>
      <c r="R7" s="39" t="n">
        <f aca="false">Q7=B7</f>
        <v>1</v>
      </c>
    </row>
    <row r="8" customFormat="false" ht="17.25" hidden="false" customHeight="true" outlineLevel="0" collapsed="false">
      <c r="A8" s="54" t="s">
        <v>82</v>
      </c>
      <c r="B8" s="55" t="n">
        <f aca="false">SUM(C8:N8)</f>
        <v>6196814765.29</v>
      </c>
      <c r="C8" s="535" t="n">
        <f aca="false">C9+C14</f>
        <v>238215409</v>
      </c>
      <c r="D8" s="537" t="n">
        <f aca="false">D9+D14</f>
        <v>453028039</v>
      </c>
      <c r="E8" s="55" t="n">
        <f aca="false">E9+E14</f>
        <v>453843136.215</v>
      </c>
      <c r="F8" s="55" t="n">
        <f aca="false">F9+F14</f>
        <v>574368136.215</v>
      </c>
      <c r="G8" s="55" t="n">
        <f aca="false">G9+G14</f>
        <v>576730636.215</v>
      </c>
      <c r="H8" s="55" t="n">
        <f aca="false">H9+H14</f>
        <v>576730636.215</v>
      </c>
      <c r="I8" s="55" t="n">
        <f aca="false">I9+I14</f>
        <v>508218136.215</v>
      </c>
      <c r="J8" s="55" t="n">
        <f aca="false">J9+J14</f>
        <v>302680636.215</v>
      </c>
      <c r="K8" s="55" t="n">
        <f aca="false">K9+K14</f>
        <v>603250000</v>
      </c>
      <c r="L8" s="55" t="n">
        <f aca="false">L9+L14</f>
        <v>603250000</v>
      </c>
      <c r="M8" s="55" t="n">
        <f aca="false">M9+M14</f>
        <v>703250000</v>
      </c>
      <c r="N8" s="55" t="n">
        <f aca="false">N9+N14</f>
        <v>603250000</v>
      </c>
      <c r="O8" s="49"/>
      <c r="P8" s="51" t="n">
        <f aca="false">D8</f>
        <v>453028039</v>
      </c>
      <c r="Q8" s="49" t="n">
        <f aca="false">SUM(C8:N8)</f>
        <v>6196814765.29</v>
      </c>
      <c r="R8" s="39" t="n">
        <f aca="false">Q8=B8</f>
        <v>1</v>
      </c>
    </row>
    <row r="9" customFormat="false" ht="11.25" hidden="true" customHeight="true" outlineLevel="0" collapsed="false">
      <c r="A9" s="57" t="s">
        <v>83</v>
      </c>
      <c r="B9" s="55" t="n">
        <f aca="false">B10+B11-B13+B12</f>
        <v>2233443448</v>
      </c>
      <c r="C9" s="535" t="n">
        <f aca="false">C10+C11-C13+C12</f>
        <v>238215409</v>
      </c>
      <c r="D9" s="535" t="n">
        <f aca="false">D10+D11-D13+D12</f>
        <v>453028039</v>
      </c>
      <c r="E9" s="55" t="n">
        <f aca="false">E10+E11-E13+E12</f>
        <v>0</v>
      </c>
      <c r="F9" s="55" t="n">
        <f aca="false">F10+F11-F13+F12</f>
        <v>115800000</v>
      </c>
      <c r="G9" s="55" t="n">
        <f aca="false">G10+G11-G13+G12</f>
        <v>115800000</v>
      </c>
      <c r="H9" s="55" t="n">
        <f aca="false">H10+H11-H13+H12</f>
        <v>115800000</v>
      </c>
      <c r="I9" s="55" t="n">
        <f aca="false">I10+I11-I13+I12</f>
        <v>115800000</v>
      </c>
      <c r="J9" s="55" t="n">
        <f aca="false">J10+J11-J13+J12</f>
        <v>115800000</v>
      </c>
      <c r="K9" s="55" t="n">
        <f aca="false">K10+K11-K13+K12</f>
        <v>215800000</v>
      </c>
      <c r="L9" s="55" t="n">
        <f aca="false">L10+L11-L13+L12</f>
        <v>215800000</v>
      </c>
      <c r="M9" s="55" t="n">
        <f aca="false">M10+M11-M13+M12</f>
        <v>315800000</v>
      </c>
      <c r="N9" s="55" t="n">
        <f aca="false">N10+N11-N13+N12</f>
        <v>215800000</v>
      </c>
      <c r="O9" s="49"/>
      <c r="P9" s="51" t="n">
        <f aca="false">D9</f>
        <v>453028039</v>
      </c>
      <c r="Q9" s="49" t="n">
        <f aca="false">SUM(C9:N9)</f>
        <v>2233443448</v>
      </c>
      <c r="R9" s="39" t="n">
        <f aca="false">Q9=B9</f>
        <v>1</v>
      </c>
    </row>
    <row r="10" customFormat="false" ht="11.25" hidden="true" customHeight="true" outlineLevel="0" collapsed="false">
      <c r="A10" s="57" t="s">
        <v>84</v>
      </c>
      <c r="B10" s="55" t="n">
        <f aca="false">C10</f>
        <v>1089627615</v>
      </c>
      <c r="C10" s="535" t="n">
        <v>1089627615</v>
      </c>
      <c r="D10" s="535" t="n">
        <f aca="false">C13</f>
        <v>1078344448</v>
      </c>
      <c r="E10" s="55" t="n">
        <f aca="false">D13</f>
        <v>1064999154</v>
      </c>
      <c r="F10" s="55" t="n">
        <f aca="false">E13</f>
        <v>1045256441</v>
      </c>
      <c r="G10" s="55" t="n">
        <f aca="false">F13</f>
        <v>1025513728</v>
      </c>
      <c r="H10" s="55" t="n">
        <f aca="false">G13</f>
        <v>1005771015</v>
      </c>
      <c r="I10" s="55" t="n">
        <f aca="false">H13</f>
        <v>986028302</v>
      </c>
      <c r="J10" s="55" t="n">
        <f aca="false">I13</f>
        <v>966285589</v>
      </c>
      <c r="K10" s="55" t="n">
        <f aca="false">J13</f>
        <v>946542876</v>
      </c>
      <c r="L10" s="55" t="n">
        <f aca="false">K13</f>
        <v>936542876</v>
      </c>
      <c r="M10" s="55" t="n">
        <f aca="false">L13</f>
        <v>926542876</v>
      </c>
      <c r="N10" s="55" t="n">
        <f aca="false">M13</f>
        <v>916542876</v>
      </c>
      <c r="O10" s="49"/>
      <c r="P10" s="51" t="n">
        <f aca="false">D10</f>
        <v>1078344448</v>
      </c>
      <c r="Q10" s="49" t="n">
        <f aca="false">SUM(C10)</f>
        <v>1089627615</v>
      </c>
      <c r="R10" s="39" t="n">
        <f aca="false">Q10=B10</f>
        <v>1</v>
      </c>
    </row>
    <row r="11" customFormat="false" ht="11.25" hidden="true" customHeight="true" outlineLevel="0" collapsed="false">
      <c r="A11" s="57" t="s">
        <v>85</v>
      </c>
      <c r="B11" s="55" t="n">
        <f aca="false">SUM(C11:N11)</f>
        <v>2233179105</v>
      </c>
      <c r="C11" s="535" t="n">
        <v>238134551</v>
      </c>
      <c r="D11" s="535" t="n">
        <v>452844554</v>
      </c>
      <c r="E11" s="55"/>
      <c r="F11" s="55" t="n">
        <v>115800000</v>
      </c>
      <c r="G11" s="55" t="n">
        <v>115800000</v>
      </c>
      <c r="H11" s="55" t="n">
        <v>115800000</v>
      </c>
      <c r="I11" s="55" t="n">
        <v>115800000</v>
      </c>
      <c r="J11" s="55" t="n">
        <v>115800000</v>
      </c>
      <c r="K11" s="55" t="n">
        <f aca="false">100000000+115800000</f>
        <v>215800000</v>
      </c>
      <c r="L11" s="55" t="n">
        <f aca="false">100000000+115800000</f>
        <v>215800000</v>
      </c>
      <c r="M11" s="55" t="n">
        <f aca="false">200000000+115800000</f>
        <v>315800000</v>
      </c>
      <c r="N11" s="55" t="n">
        <f aca="false">100000000+115800000</f>
        <v>215800000</v>
      </c>
      <c r="O11" s="49"/>
      <c r="P11" s="51" t="n">
        <f aca="false">D11</f>
        <v>452844554</v>
      </c>
      <c r="Q11" s="49" t="n">
        <f aca="false">SUM(C11:N11)</f>
        <v>2233179105</v>
      </c>
      <c r="R11" s="39" t="n">
        <f aca="false">Q11=B11</f>
        <v>1</v>
      </c>
    </row>
    <row r="12" customFormat="false" ht="11.25" hidden="true" customHeight="true" outlineLevel="0" collapsed="false">
      <c r="A12" s="57" t="s">
        <v>86</v>
      </c>
      <c r="B12" s="55" t="n">
        <f aca="false">SUM(C12:N12)</f>
        <v>-182820396</v>
      </c>
      <c r="C12" s="535" t="n">
        <v>-11202309</v>
      </c>
      <c r="D12" s="535" t="n">
        <v>-13161809</v>
      </c>
      <c r="E12" s="55" t="n">
        <v>-19742713</v>
      </c>
      <c r="F12" s="55" t="n">
        <v>-19742713</v>
      </c>
      <c r="G12" s="55" t="n">
        <v>-19742713</v>
      </c>
      <c r="H12" s="55" t="n">
        <v>-19742713</v>
      </c>
      <c r="I12" s="55" t="n">
        <v>-19742713</v>
      </c>
      <c r="J12" s="55" t="n">
        <v>-19742713</v>
      </c>
      <c r="K12" s="55" t="n">
        <v>-10000000</v>
      </c>
      <c r="L12" s="55" t="n">
        <v>-10000000</v>
      </c>
      <c r="M12" s="55" t="n">
        <v>-10000000</v>
      </c>
      <c r="N12" s="55" t="n">
        <v>-10000000</v>
      </c>
      <c r="O12" s="49"/>
      <c r="P12" s="51" t="n">
        <f aca="false">D12</f>
        <v>-13161809</v>
      </c>
      <c r="Q12" s="49" t="n">
        <f aca="false">SUM(C12:N12)</f>
        <v>-182820396</v>
      </c>
      <c r="R12" s="39" t="n">
        <f aca="false">Q12=B12</f>
        <v>1</v>
      </c>
      <c r="S12" s="49" t="n">
        <f aca="false">D12*-10</f>
        <v>131618090</v>
      </c>
    </row>
    <row r="13" customFormat="false" ht="11.25" hidden="true" customHeight="true" outlineLevel="0" collapsed="false">
      <c r="A13" s="57" t="s">
        <v>87</v>
      </c>
      <c r="B13" s="55" t="n">
        <f aca="false">N13</f>
        <v>906542876</v>
      </c>
      <c r="C13" s="535" t="n">
        <v>1078344448</v>
      </c>
      <c r="D13" s="535" t="n">
        <v>1064999154</v>
      </c>
      <c r="E13" s="55" t="n">
        <f aca="false">E10+E12</f>
        <v>1045256441</v>
      </c>
      <c r="F13" s="55" t="n">
        <f aca="false">F10+F12</f>
        <v>1025513728</v>
      </c>
      <c r="G13" s="55" t="n">
        <f aca="false">G10+G12</f>
        <v>1005771015</v>
      </c>
      <c r="H13" s="55" t="n">
        <f aca="false">H10+H12</f>
        <v>986028302</v>
      </c>
      <c r="I13" s="55" t="n">
        <f aca="false">I10+I12</f>
        <v>966285589</v>
      </c>
      <c r="J13" s="55" t="n">
        <f aca="false">J10+J12</f>
        <v>946542876</v>
      </c>
      <c r="K13" s="55" t="n">
        <f aca="false">K10+K12</f>
        <v>936542876</v>
      </c>
      <c r="L13" s="55" t="n">
        <f aca="false">L10+L12</f>
        <v>926542876</v>
      </c>
      <c r="M13" s="55" t="n">
        <f aca="false">M10+M12</f>
        <v>916542876</v>
      </c>
      <c r="N13" s="55" t="n">
        <f aca="false">N10+N12</f>
        <v>906542876</v>
      </c>
      <c r="O13" s="49"/>
      <c r="P13" s="51" t="n">
        <f aca="false">D13</f>
        <v>1064999154</v>
      </c>
      <c r="Q13" s="49" t="n">
        <f aca="false">SUM(N13)</f>
        <v>906542876</v>
      </c>
      <c r="R13" s="39" t="n">
        <f aca="false">Q13=B13</f>
        <v>1</v>
      </c>
    </row>
    <row r="14" customFormat="false" ht="11.25" hidden="true" customHeight="true" outlineLevel="0" collapsed="false">
      <c r="A14" s="57" t="s">
        <v>88</v>
      </c>
      <c r="B14" s="55" t="n">
        <f aca="false">B15+B16-B17</f>
        <v>3963371317.29</v>
      </c>
      <c r="C14" s="535" t="n">
        <f aca="false">C15+C16-C17</f>
        <v>0</v>
      </c>
      <c r="D14" s="537" t="n">
        <f aca="false">D15+D16-D17</f>
        <v>0</v>
      </c>
      <c r="E14" s="55" t="n">
        <f aca="false">E15+E16-E17</f>
        <v>453843136.215</v>
      </c>
      <c r="F14" s="55" t="n">
        <f aca="false">F15+F16-F17</f>
        <v>458568136.215</v>
      </c>
      <c r="G14" s="55" t="n">
        <f aca="false">G15+G16-G17</f>
        <v>460930636.215</v>
      </c>
      <c r="H14" s="55" t="n">
        <f aca="false">H15+H16-H17</f>
        <v>460930636.215</v>
      </c>
      <c r="I14" s="55" t="n">
        <f aca="false">I15+I16-I17</f>
        <v>392418136.215</v>
      </c>
      <c r="J14" s="55" t="n">
        <f aca="false">J15+J16-J17</f>
        <v>186880636.215</v>
      </c>
      <c r="K14" s="55" t="n">
        <f aca="false">K15+K16-K17</f>
        <v>387450000</v>
      </c>
      <c r="L14" s="55" t="n">
        <f aca="false">L15+L16-L17</f>
        <v>387450000</v>
      </c>
      <c r="M14" s="55" t="n">
        <f aca="false">M15+M16-M17</f>
        <v>387450000</v>
      </c>
      <c r="N14" s="55" t="n">
        <f aca="false">N15+N16-N17</f>
        <v>387450000</v>
      </c>
      <c r="O14" s="49"/>
      <c r="P14" s="51" t="n">
        <f aca="false">D14</f>
        <v>0</v>
      </c>
      <c r="Q14" s="49" t="n">
        <f aca="false">SUM(C14:N14)</f>
        <v>3963371317.29</v>
      </c>
      <c r="R14" s="39" t="n">
        <f aca="false">Q14=B14</f>
        <v>1</v>
      </c>
      <c r="S14" s="49"/>
    </row>
    <row r="15" customFormat="false" ht="11.25" hidden="true" customHeight="true" outlineLevel="0" collapsed="false">
      <c r="A15" s="57" t="s">
        <v>89</v>
      </c>
      <c r="B15" s="55" t="n">
        <f aca="false">C15</f>
        <v>230834232</v>
      </c>
      <c r="C15" s="535" t="n">
        <v>230834232</v>
      </c>
      <c r="D15" s="535" t="n">
        <f aca="false">C17</f>
        <v>230834232</v>
      </c>
      <c r="E15" s="55" t="n">
        <f aca="false">D17</f>
        <v>230834232</v>
      </c>
      <c r="F15" s="55" t="n">
        <f aca="false">E17</f>
        <v>230834232</v>
      </c>
      <c r="G15" s="55" t="n">
        <f aca="false">F17</f>
        <v>230834232</v>
      </c>
      <c r="H15" s="55" t="n">
        <f aca="false">G17</f>
        <v>230834232</v>
      </c>
      <c r="I15" s="55" t="n">
        <f aca="false">H17</f>
        <v>230834232</v>
      </c>
      <c r="J15" s="55" t="n">
        <f aca="false">I17</f>
        <v>230834232</v>
      </c>
      <c r="K15" s="55" t="n">
        <f aca="false">J17</f>
        <v>230834232</v>
      </c>
      <c r="L15" s="55" t="n">
        <f aca="false">K17</f>
        <v>230834232</v>
      </c>
      <c r="M15" s="55" t="n">
        <f aca="false">L17</f>
        <v>230834232</v>
      </c>
      <c r="N15" s="55" t="n">
        <f aca="false">M17</f>
        <v>230834232</v>
      </c>
      <c r="O15" s="49"/>
      <c r="P15" s="51" t="n">
        <f aca="false">D15</f>
        <v>230834232</v>
      </c>
      <c r="Q15" s="49" t="n">
        <f aca="false">SUM(C15)</f>
        <v>230834232</v>
      </c>
      <c r="R15" s="39" t="n">
        <f aca="false">Q15=B15</f>
        <v>1</v>
      </c>
    </row>
    <row r="16" customFormat="false" ht="11.25" hidden="true" customHeight="true" outlineLevel="0" collapsed="false">
      <c r="A16" s="57" t="s">
        <v>90</v>
      </c>
      <c r="B16" s="55" t="n">
        <f aca="false">SUM(C16:N16)</f>
        <v>3963371317.29</v>
      </c>
      <c r="C16" s="535"/>
      <c r="D16" s="537"/>
      <c r="E16" s="56" t="n">
        <f aca="false">E5*94.5%</f>
        <v>453843136.215</v>
      </c>
      <c r="F16" s="56" t="n">
        <f aca="false">F5*94.5%</f>
        <v>458568136.215</v>
      </c>
      <c r="G16" s="56" t="n">
        <f aca="false">G5*94.5%</f>
        <v>460930636.215</v>
      </c>
      <c r="H16" s="56" t="n">
        <f aca="false">H5*94.5%</f>
        <v>460930636.215</v>
      </c>
      <c r="I16" s="56" t="n">
        <f aca="false">I5*94.5%</f>
        <v>392418136.215</v>
      </c>
      <c r="J16" s="56" t="n">
        <f aca="false">J5*94.5%</f>
        <v>186880636.215</v>
      </c>
      <c r="K16" s="56" t="n">
        <f aca="false">K5*94.5%</f>
        <v>387450000</v>
      </c>
      <c r="L16" s="56" t="n">
        <f aca="false">L5*94.5%</f>
        <v>387450000</v>
      </c>
      <c r="M16" s="56" t="n">
        <f aca="false">M5*94.5%</f>
        <v>387450000</v>
      </c>
      <c r="N16" s="56" t="n">
        <f aca="false">N5*94.5%</f>
        <v>387450000</v>
      </c>
      <c r="O16" s="49"/>
      <c r="P16" s="51" t="n">
        <f aca="false">D16</f>
        <v>0</v>
      </c>
      <c r="Q16" s="49" t="n">
        <f aca="false">SUM(C16:N16)</f>
        <v>3963371317.29</v>
      </c>
      <c r="R16" s="39" t="n">
        <f aca="false">Q16=B16</f>
        <v>1</v>
      </c>
    </row>
    <row r="17" customFormat="false" ht="11.25" hidden="true" customHeight="true" outlineLevel="0" collapsed="false">
      <c r="A17" s="57" t="s">
        <v>91</v>
      </c>
      <c r="B17" s="55" t="n">
        <f aca="false">D17</f>
        <v>230834232</v>
      </c>
      <c r="C17" s="535" t="n">
        <v>230834232</v>
      </c>
      <c r="D17" s="535" t="n">
        <v>230834232</v>
      </c>
      <c r="E17" s="55" t="n">
        <f aca="false">E15</f>
        <v>230834232</v>
      </c>
      <c r="F17" s="55" t="n">
        <f aca="false">F15</f>
        <v>230834232</v>
      </c>
      <c r="G17" s="55" t="n">
        <f aca="false">G15</f>
        <v>230834232</v>
      </c>
      <c r="H17" s="55" t="n">
        <f aca="false">H15</f>
        <v>230834232</v>
      </c>
      <c r="I17" s="55" t="n">
        <f aca="false">I15</f>
        <v>230834232</v>
      </c>
      <c r="J17" s="55" t="n">
        <f aca="false">J15</f>
        <v>230834232</v>
      </c>
      <c r="K17" s="55" t="n">
        <f aca="false">K15</f>
        <v>230834232</v>
      </c>
      <c r="L17" s="55" t="n">
        <f aca="false">L15</f>
        <v>230834232</v>
      </c>
      <c r="M17" s="55" t="n">
        <f aca="false">M15</f>
        <v>230834232</v>
      </c>
      <c r="N17" s="55" t="n">
        <f aca="false">N15</f>
        <v>230834232</v>
      </c>
      <c r="O17" s="49"/>
      <c r="P17" s="51" t="n">
        <f aca="false">D17</f>
        <v>230834232</v>
      </c>
      <c r="Q17" s="49" t="n">
        <f aca="false">SUM(D17)</f>
        <v>230834232</v>
      </c>
      <c r="R17" s="39" t="n">
        <f aca="false">Q17=B17</f>
        <v>1</v>
      </c>
    </row>
    <row r="18" customFormat="false" ht="17.25" hidden="false" customHeight="true" outlineLevel="0" collapsed="false">
      <c r="A18" s="44" t="s">
        <v>92</v>
      </c>
      <c r="B18" s="45" t="n">
        <f aca="false">SUM(C18:N18)</f>
        <v>598236267.71</v>
      </c>
      <c r="C18" s="535" t="n">
        <f aca="false">C3-C8</f>
        <v>46496702</v>
      </c>
      <c r="D18" s="537" t="n">
        <f aca="false">D3-D8</f>
        <v>54867883</v>
      </c>
      <c r="E18" s="45" t="n">
        <f aca="false">E3-E8</f>
        <v>46156863.7850001</v>
      </c>
      <c r="F18" s="45" t="n">
        <f aca="false">F3-F8</f>
        <v>53958863.7850001</v>
      </c>
      <c r="G18" s="45" t="n">
        <f aca="false">G3-G8</f>
        <v>54096363.7850001</v>
      </c>
      <c r="H18" s="45" t="n">
        <f aca="false">H3-H8</f>
        <v>54096363.7850001</v>
      </c>
      <c r="I18" s="45" t="n">
        <f aca="false">I3-I8</f>
        <v>50108863.7850001</v>
      </c>
      <c r="J18" s="45" t="n">
        <f aca="false">J3-J8</f>
        <v>38146363.785</v>
      </c>
      <c r="K18" s="45" t="n">
        <f aca="false">K3-K8</f>
        <v>48077000</v>
      </c>
      <c r="L18" s="45" t="n">
        <f aca="false">L3-L8</f>
        <v>48077000</v>
      </c>
      <c r="M18" s="45" t="n">
        <f aca="false">M3-M8</f>
        <v>56077000</v>
      </c>
      <c r="N18" s="45" t="n">
        <f aca="false">N3-N8</f>
        <v>48077000</v>
      </c>
      <c r="O18" s="49"/>
      <c r="P18" s="51" t="n">
        <f aca="false">D18</f>
        <v>54867883</v>
      </c>
      <c r="Q18" s="49" t="n">
        <f aca="false">SUM(C18:N18)</f>
        <v>598236267.71</v>
      </c>
      <c r="R18" s="39" t="n">
        <f aca="false">Q18=B18</f>
        <v>1</v>
      </c>
    </row>
    <row r="19" customFormat="false" ht="14.25" hidden="false" customHeight="true" outlineLevel="0" collapsed="false">
      <c r="A19" s="44" t="s">
        <v>93</v>
      </c>
      <c r="B19" s="45" t="n">
        <f aca="false">SUM(C19:N19)</f>
        <v>319270960</v>
      </c>
      <c r="C19" s="535" t="n">
        <f aca="false">SUM(C20:C40)</f>
        <v>41861314</v>
      </c>
      <c r="D19" s="535" t="n">
        <f aca="false">SUM(D20:D40)</f>
        <v>43908346</v>
      </c>
      <c r="E19" s="45" t="n">
        <f aca="false">SUM(E20:E40)</f>
        <v>27541130</v>
      </c>
      <c r="F19" s="45" t="n">
        <f aca="false">SUM(F20:F40)</f>
        <v>29191130</v>
      </c>
      <c r="G19" s="45" t="n">
        <f aca="false">SUM(G20:G40)</f>
        <v>21371130</v>
      </c>
      <c r="H19" s="45" t="n">
        <f aca="false">SUM(H20:H40)</f>
        <v>21371130</v>
      </c>
      <c r="I19" s="45" t="n">
        <f aca="false">SUM(I20:I40)</f>
        <v>21371130</v>
      </c>
      <c r="J19" s="45" t="n">
        <f aca="false">SUM(J20:J40)</f>
        <v>21371130</v>
      </c>
      <c r="K19" s="45" t="n">
        <f aca="false">SUM(K20:K40)</f>
        <v>21371130</v>
      </c>
      <c r="L19" s="45" t="n">
        <f aca="false">SUM(L20:L40)</f>
        <v>21371130</v>
      </c>
      <c r="M19" s="45" t="n">
        <f aca="false">SUM(M20:M40)</f>
        <v>21371130</v>
      </c>
      <c r="N19" s="45" t="n">
        <f aca="false">SUM(N20:N40)</f>
        <v>27171130</v>
      </c>
      <c r="O19" s="49"/>
      <c r="P19" s="51" t="n">
        <f aca="false">D19</f>
        <v>43908346</v>
      </c>
      <c r="Q19" s="49" t="n">
        <f aca="false">SUM(C19:N19)</f>
        <v>319270960</v>
      </c>
      <c r="R19" s="39" t="n">
        <f aca="false">Q19=B19</f>
        <v>1</v>
      </c>
    </row>
    <row r="20" customFormat="false" ht="11.25" hidden="false" customHeight="true" outlineLevel="0" collapsed="false">
      <c r="A20" s="57" t="s">
        <v>94</v>
      </c>
      <c r="B20" s="55" t="n">
        <f aca="false">SUM(C20:N20)</f>
        <v>221710020</v>
      </c>
      <c r="C20" s="535" t="n">
        <v>20855010</v>
      </c>
      <c r="D20" s="535" t="n">
        <v>20855010</v>
      </c>
      <c r="E20" s="55" t="n">
        <v>18000000</v>
      </c>
      <c r="F20" s="55" t="n">
        <v>18000000</v>
      </c>
      <c r="G20" s="55" t="n">
        <v>18000000</v>
      </c>
      <c r="H20" s="55" t="n">
        <v>18000000</v>
      </c>
      <c r="I20" s="55" t="n">
        <v>18000000</v>
      </c>
      <c r="J20" s="55" t="n">
        <v>18000000</v>
      </c>
      <c r="K20" s="55" t="n">
        <v>18000000</v>
      </c>
      <c r="L20" s="55" t="n">
        <v>18000000</v>
      </c>
      <c r="M20" s="55" t="n">
        <v>18000000</v>
      </c>
      <c r="N20" s="55" t="n">
        <v>18000000</v>
      </c>
      <c r="O20" s="49"/>
      <c r="P20" s="51" t="n">
        <f aca="false">D20</f>
        <v>20855010</v>
      </c>
      <c r="Q20" s="49" t="n">
        <f aca="false">SUM(C20:N20)</f>
        <v>221710020</v>
      </c>
      <c r="R20" s="39" t="n">
        <f aca="false">Q20=B20</f>
        <v>1</v>
      </c>
    </row>
    <row r="21" customFormat="false" ht="11.25" hidden="false" customHeight="true" outlineLevel="0" collapsed="false">
      <c r="A21" s="50" t="s">
        <v>95</v>
      </c>
      <c r="B21" s="45" t="n">
        <f aca="false">SUM(C21:N21)</f>
        <v>2000000</v>
      </c>
      <c r="C21" s="535"/>
      <c r="D21" s="535" t="n">
        <v>2000000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9"/>
      <c r="P21" s="51" t="n">
        <f aca="false">D21</f>
        <v>2000000</v>
      </c>
      <c r="Q21" s="49" t="n">
        <f aca="false">SUM(C21:N21)</f>
        <v>2000000</v>
      </c>
      <c r="R21" s="39" t="n">
        <f aca="false">Q21=B21</f>
        <v>1</v>
      </c>
    </row>
    <row r="22" customFormat="false" ht="11.25" hidden="false" customHeight="true" outlineLevel="0" collapsed="false">
      <c r="A22" s="50" t="s">
        <v>61</v>
      </c>
      <c r="B22" s="45" t="n">
        <f aca="false">SUM(C22:N22)</f>
        <v>0</v>
      </c>
      <c r="C22" s="535"/>
      <c r="D22" s="53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9"/>
      <c r="P22" s="51" t="n">
        <f aca="false">D22</f>
        <v>0</v>
      </c>
      <c r="Q22" s="49" t="n">
        <f aca="false">SUM(C22:N22)</f>
        <v>0</v>
      </c>
      <c r="R22" s="39" t="n">
        <f aca="false">Q22=B22</f>
        <v>1</v>
      </c>
    </row>
    <row r="23" customFormat="false" ht="11.25" hidden="false" customHeight="true" outlineLevel="0" collapsed="false">
      <c r="A23" s="50" t="s">
        <v>96</v>
      </c>
      <c r="B23" s="45" t="n">
        <f aca="false">SUM(C23:N23)</f>
        <v>4781390</v>
      </c>
      <c r="C23" s="535" t="n">
        <v>599029</v>
      </c>
      <c r="D23" s="535" t="n">
        <v>682361</v>
      </c>
      <c r="E23" s="45" t="n">
        <v>350000</v>
      </c>
      <c r="F23" s="45" t="n">
        <v>350000</v>
      </c>
      <c r="G23" s="45" t="n">
        <v>350000</v>
      </c>
      <c r="H23" s="45" t="n">
        <v>350000</v>
      </c>
      <c r="I23" s="45" t="n">
        <v>350000</v>
      </c>
      <c r="J23" s="45" t="n">
        <v>350000</v>
      </c>
      <c r="K23" s="45" t="n">
        <v>350000</v>
      </c>
      <c r="L23" s="45" t="n">
        <v>350000</v>
      </c>
      <c r="M23" s="45" t="n">
        <v>350000</v>
      </c>
      <c r="N23" s="45" t="n">
        <v>350000</v>
      </c>
      <c r="O23" s="49"/>
      <c r="P23" s="51" t="n">
        <f aca="false">D23</f>
        <v>682361</v>
      </c>
      <c r="Q23" s="49" t="n">
        <f aca="false">SUM(C23:N23)</f>
        <v>4781390</v>
      </c>
      <c r="R23" s="39" t="n">
        <f aca="false">Q23=B23</f>
        <v>1</v>
      </c>
    </row>
    <row r="24" customFormat="false" ht="11.25" hidden="false" customHeight="true" outlineLevel="0" collapsed="false">
      <c r="A24" s="50" t="s">
        <v>63</v>
      </c>
      <c r="B24" s="45" t="n">
        <f aca="false">SUM(C24:N24)</f>
        <v>5905200</v>
      </c>
      <c r="C24" s="535" t="n">
        <v>437700</v>
      </c>
      <c r="D24" s="535" t="n">
        <v>467500</v>
      </c>
      <c r="E24" s="45" t="n">
        <v>500000</v>
      </c>
      <c r="F24" s="45" t="n">
        <v>500000</v>
      </c>
      <c r="G24" s="45" t="n">
        <v>500000</v>
      </c>
      <c r="H24" s="45" t="n">
        <v>500000</v>
      </c>
      <c r="I24" s="45" t="n">
        <v>500000</v>
      </c>
      <c r="J24" s="45" t="n">
        <v>500000</v>
      </c>
      <c r="K24" s="45" t="n">
        <v>500000</v>
      </c>
      <c r="L24" s="45" t="n">
        <v>500000</v>
      </c>
      <c r="M24" s="45" t="n">
        <v>500000</v>
      </c>
      <c r="N24" s="45" t="n">
        <v>500000</v>
      </c>
      <c r="O24" s="49"/>
      <c r="P24" s="51" t="n">
        <f aca="false">D24</f>
        <v>467500</v>
      </c>
      <c r="Q24" s="49" t="n">
        <f aca="false">SUM(C24:N24)</f>
        <v>5905200</v>
      </c>
      <c r="R24" s="39" t="n">
        <f aca="false">Q24=B24</f>
        <v>1</v>
      </c>
    </row>
    <row r="25" customFormat="false" ht="11.25" hidden="false" customHeight="true" outlineLevel="0" collapsed="false">
      <c r="A25" s="50" t="s">
        <v>97</v>
      </c>
      <c r="B25" s="45" t="n">
        <f aca="false">SUM(C25:N25)</f>
        <v>2124100</v>
      </c>
      <c r="C25" s="535" t="n">
        <v>112700</v>
      </c>
      <c r="D25" s="535" t="n">
        <v>161400</v>
      </c>
      <c r="E25" s="45" t="n">
        <v>500000</v>
      </c>
      <c r="F25" s="45" t="n">
        <v>150000</v>
      </c>
      <c r="G25" s="45" t="n">
        <v>150000</v>
      </c>
      <c r="H25" s="45" t="n">
        <v>150000</v>
      </c>
      <c r="I25" s="45" t="n">
        <v>150000</v>
      </c>
      <c r="J25" s="45" t="n">
        <v>150000</v>
      </c>
      <c r="K25" s="45" t="n">
        <v>150000</v>
      </c>
      <c r="L25" s="45" t="n">
        <v>150000</v>
      </c>
      <c r="M25" s="45" t="n">
        <v>150000</v>
      </c>
      <c r="N25" s="45" t="n">
        <v>150000</v>
      </c>
      <c r="O25" s="49"/>
      <c r="P25" s="51" t="n">
        <f aca="false">D25</f>
        <v>161400</v>
      </c>
      <c r="Q25" s="49" t="n">
        <f aca="false">SUM(C25:N25)</f>
        <v>2124100</v>
      </c>
      <c r="R25" s="39" t="n">
        <f aca="false">Q25=B25</f>
        <v>1</v>
      </c>
    </row>
    <row r="26" customFormat="false" ht="11.25" hidden="false" customHeight="true" outlineLevel="0" collapsed="false">
      <c r="A26" s="50" t="s">
        <v>98</v>
      </c>
      <c r="B26" s="45" t="n">
        <f aca="false">SUM(C26:N26)</f>
        <v>0</v>
      </c>
      <c r="C26" s="535"/>
      <c r="D26" s="535"/>
      <c r="E26" s="45"/>
      <c r="F26" s="45"/>
      <c r="G26" s="45"/>
      <c r="H26" s="45"/>
      <c r="I26" s="45"/>
      <c r="J26" s="45"/>
      <c r="K26" s="45"/>
      <c r="L26" s="45"/>
      <c r="M26" s="45"/>
      <c r="N26" s="53"/>
      <c r="O26" s="49"/>
      <c r="P26" s="51" t="n">
        <f aca="false">D26</f>
        <v>0</v>
      </c>
      <c r="Q26" s="49" t="n">
        <f aca="false">SUM(C26:N26)</f>
        <v>0</v>
      </c>
      <c r="R26" s="39" t="n">
        <f aca="false">Q26=B26</f>
        <v>1</v>
      </c>
    </row>
    <row r="27" customFormat="false" ht="11.25" hidden="false" customHeight="true" outlineLevel="0" collapsed="false">
      <c r="A27" s="50" t="s">
        <v>99</v>
      </c>
      <c r="B27" s="45" t="n">
        <f aca="false">SUM(C27:N27)</f>
        <v>1143633</v>
      </c>
      <c r="C27" s="535" t="n">
        <v>81452</v>
      </c>
      <c r="D27" s="535" t="n">
        <v>62181</v>
      </c>
      <c r="E27" s="45" t="n">
        <v>100000</v>
      </c>
      <c r="F27" s="45" t="n">
        <v>100000</v>
      </c>
      <c r="G27" s="45" t="n">
        <v>100000</v>
      </c>
      <c r="H27" s="45" t="n">
        <v>100000</v>
      </c>
      <c r="I27" s="45" t="n">
        <v>100000</v>
      </c>
      <c r="J27" s="45" t="n">
        <v>100000</v>
      </c>
      <c r="K27" s="45" t="n">
        <v>100000</v>
      </c>
      <c r="L27" s="45" t="n">
        <v>100000</v>
      </c>
      <c r="M27" s="45" t="n">
        <v>100000</v>
      </c>
      <c r="N27" s="45" t="n">
        <v>100000</v>
      </c>
      <c r="O27" s="49"/>
      <c r="P27" s="51" t="n">
        <f aca="false">D27</f>
        <v>62181</v>
      </c>
      <c r="Q27" s="49" t="n">
        <f aca="false">SUM(C27:N27)</f>
        <v>1143633</v>
      </c>
      <c r="R27" s="39" t="n">
        <f aca="false">Q27=B27</f>
        <v>1</v>
      </c>
    </row>
    <row r="28" customFormat="false" ht="11.25" hidden="false" customHeight="true" outlineLevel="0" collapsed="false">
      <c r="A28" s="50" t="s">
        <v>100</v>
      </c>
      <c r="B28" s="45" t="n">
        <f aca="false">SUM(C28:N28)</f>
        <v>389734</v>
      </c>
      <c r="C28" s="535" t="n">
        <v>127240</v>
      </c>
      <c r="D28" s="535" t="n">
        <v>62494</v>
      </c>
      <c r="E28" s="45" t="n">
        <v>100000</v>
      </c>
      <c r="F28" s="45" t="n">
        <v>100000</v>
      </c>
      <c r="G28" s="45"/>
      <c r="H28" s="45"/>
      <c r="I28" s="45"/>
      <c r="J28" s="45"/>
      <c r="K28" s="45"/>
      <c r="L28" s="45"/>
      <c r="M28" s="45"/>
      <c r="N28" s="45"/>
      <c r="O28" s="49"/>
      <c r="P28" s="51" t="n">
        <f aca="false">D28</f>
        <v>62494</v>
      </c>
      <c r="Q28" s="49" t="n">
        <f aca="false">SUM(C28:N28)</f>
        <v>389734</v>
      </c>
      <c r="R28" s="39" t="n">
        <f aca="false">Q28=B28</f>
        <v>1</v>
      </c>
    </row>
    <row r="29" customFormat="false" ht="11.25" hidden="false" customHeight="true" outlineLevel="0" collapsed="false">
      <c r="A29" s="50" t="s">
        <v>101</v>
      </c>
      <c r="B29" s="45" t="n">
        <f aca="false">SUM(C29:N29)</f>
        <v>17883900</v>
      </c>
      <c r="C29" s="535" t="n">
        <v>1446120</v>
      </c>
      <c r="D29" s="535" t="n">
        <v>1437780</v>
      </c>
      <c r="E29" s="45" t="n">
        <v>1500000</v>
      </c>
      <c r="F29" s="45" t="n">
        <v>1500000</v>
      </c>
      <c r="G29" s="45" t="n">
        <v>1500000</v>
      </c>
      <c r="H29" s="45" t="n">
        <v>1500000</v>
      </c>
      <c r="I29" s="45" t="n">
        <v>1500000</v>
      </c>
      <c r="J29" s="45" t="n">
        <v>1500000</v>
      </c>
      <c r="K29" s="45" t="n">
        <v>1500000</v>
      </c>
      <c r="L29" s="45" t="n">
        <v>1500000</v>
      </c>
      <c r="M29" s="45" t="n">
        <v>1500000</v>
      </c>
      <c r="N29" s="45" t="n">
        <v>1500000</v>
      </c>
      <c r="O29" s="49"/>
      <c r="P29" s="51" t="n">
        <f aca="false">D29</f>
        <v>1437780</v>
      </c>
      <c r="Q29" s="49" t="n">
        <f aca="false">SUM(C29:N29)</f>
        <v>17883900</v>
      </c>
      <c r="R29" s="39" t="n">
        <f aca="false">Q29=B29</f>
        <v>1</v>
      </c>
    </row>
    <row r="30" customFormat="false" ht="11.25" hidden="false" customHeight="true" outlineLevel="0" collapsed="false">
      <c r="A30" s="50" t="s">
        <v>102</v>
      </c>
      <c r="B30" s="45" t="n">
        <f aca="false">SUM(C30:N30)</f>
        <v>3613560</v>
      </c>
      <c r="C30" s="535" t="n">
        <v>301130</v>
      </c>
      <c r="D30" s="535" t="n">
        <v>301130</v>
      </c>
      <c r="E30" s="45" t="n">
        <v>301130</v>
      </c>
      <c r="F30" s="45" t="n">
        <v>301130</v>
      </c>
      <c r="G30" s="45" t="n">
        <v>301130</v>
      </c>
      <c r="H30" s="45" t="n">
        <v>301130</v>
      </c>
      <c r="I30" s="45" t="n">
        <v>301130</v>
      </c>
      <c r="J30" s="45" t="n">
        <v>301130</v>
      </c>
      <c r="K30" s="45" t="n">
        <v>301130</v>
      </c>
      <c r="L30" s="45" t="n">
        <v>301130</v>
      </c>
      <c r="M30" s="45" t="n">
        <v>301130</v>
      </c>
      <c r="N30" s="45" t="n">
        <v>301130</v>
      </c>
      <c r="O30" s="49"/>
      <c r="P30" s="51" t="n">
        <f aca="false">D30</f>
        <v>301130</v>
      </c>
      <c r="Q30" s="49" t="n">
        <f aca="false">SUM(C30:N30)</f>
        <v>3613560</v>
      </c>
      <c r="R30" s="39" t="n">
        <f aca="false">Q30=B30</f>
        <v>1</v>
      </c>
    </row>
    <row r="31" customFormat="false" ht="11.25" hidden="false" customHeight="true" outlineLevel="0" collapsed="false">
      <c r="A31" s="50" t="s">
        <v>64</v>
      </c>
      <c r="B31" s="45" t="n">
        <f aca="false">SUM(C31:N31)</f>
        <v>11200000</v>
      </c>
      <c r="C31" s="535" t="n">
        <v>2800000</v>
      </c>
      <c r="D31" s="535" t="n">
        <v>2800000</v>
      </c>
      <c r="E31" s="45" t="n">
        <v>2800000</v>
      </c>
      <c r="F31" s="45" t="n">
        <v>2800000</v>
      </c>
      <c r="G31" s="45"/>
      <c r="H31" s="45"/>
      <c r="I31" s="45"/>
      <c r="J31" s="45"/>
      <c r="K31" s="45"/>
      <c r="L31" s="45"/>
      <c r="M31" s="45"/>
      <c r="N31" s="45"/>
      <c r="O31" s="49"/>
      <c r="P31" s="51" t="n">
        <f aca="false">D31</f>
        <v>2800000</v>
      </c>
      <c r="Q31" s="49" t="n">
        <f aca="false">SUM(C31:N31)</f>
        <v>11200000</v>
      </c>
      <c r="R31" s="39" t="n">
        <f aca="false">Q31=B31</f>
        <v>1</v>
      </c>
    </row>
    <row r="32" customFormat="false" ht="11.25" hidden="false" customHeight="true" outlineLevel="0" collapsed="false">
      <c r="A32" s="50" t="s">
        <v>103</v>
      </c>
      <c r="B32" s="45" t="n">
        <f aca="false">SUM(C32:N32)</f>
        <v>2656192</v>
      </c>
      <c r="C32" s="535" t="n">
        <v>173666</v>
      </c>
      <c r="D32" s="535" t="n">
        <v>442526</v>
      </c>
      <c r="E32" s="45" t="n">
        <v>300000</v>
      </c>
      <c r="F32" s="45" t="n">
        <v>300000</v>
      </c>
      <c r="G32" s="45" t="n">
        <v>180000</v>
      </c>
      <c r="H32" s="45" t="n">
        <v>180000</v>
      </c>
      <c r="I32" s="45" t="n">
        <v>180000</v>
      </c>
      <c r="J32" s="45" t="n">
        <v>180000</v>
      </c>
      <c r="K32" s="45" t="n">
        <v>180000</v>
      </c>
      <c r="L32" s="45" t="n">
        <v>180000</v>
      </c>
      <c r="M32" s="45" t="n">
        <v>180000</v>
      </c>
      <c r="N32" s="45" t="n">
        <v>180000</v>
      </c>
      <c r="O32" s="49"/>
      <c r="P32" s="51" t="n">
        <f aca="false">D32</f>
        <v>442526</v>
      </c>
      <c r="Q32" s="49" t="n">
        <f aca="false">SUM(C32:N32)</f>
        <v>2656192</v>
      </c>
      <c r="R32" s="39" t="n">
        <f aca="false">Q32=B32</f>
        <v>1</v>
      </c>
    </row>
    <row r="33" customFormat="false" ht="11.25" hidden="false" customHeight="true" outlineLevel="0" collapsed="false">
      <c r="A33" s="50" t="s">
        <v>104</v>
      </c>
      <c r="B33" s="45" t="n">
        <f aca="false">SUM(C33:N33)</f>
        <v>220000</v>
      </c>
      <c r="C33" s="535" t="n">
        <v>20000</v>
      </c>
      <c r="D33" s="535"/>
      <c r="E33" s="45" t="n">
        <v>20000</v>
      </c>
      <c r="F33" s="45" t="n">
        <v>20000</v>
      </c>
      <c r="G33" s="45" t="n">
        <v>20000</v>
      </c>
      <c r="H33" s="45" t="n">
        <v>20000</v>
      </c>
      <c r="I33" s="45" t="n">
        <v>20000</v>
      </c>
      <c r="J33" s="45" t="n">
        <v>20000</v>
      </c>
      <c r="K33" s="45" t="n">
        <v>20000</v>
      </c>
      <c r="L33" s="45" t="n">
        <v>20000</v>
      </c>
      <c r="M33" s="45" t="n">
        <v>20000</v>
      </c>
      <c r="N33" s="45" t="n">
        <v>20000</v>
      </c>
      <c r="O33" s="49"/>
      <c r="P33" s="51" t="n">
        <f aca="false">D33</f>
        <v>0</v>
      </c>
      <c r="Q33" s="49" t="n">
        <f aca="false">SUM(C33:N33)</f>
        <v>220000</v>
      </c>
      <c r="R33" s="39" t="n">
        <f aca="false">Q33=B33</f>
        <v>1</v>
      </c>
    </row>
    <row r="34" customFormat="false" ht="11.25" hidden="false" customHeight="true" outlineLevel="0" collapsed="false">
      <c r="A34" s="50" t="s">
        <v>65</v>
      </c>
      <c r="B34" s="45" t="n">
        <f aca="false">SUM(C34:N34)</f>
        <v>24743210</v>
      </c>
      <c r="C34" s="537" t="n">
        <v>10239992</v>
      </c>
      <c r="D34" s="537" t="n">
        <v>14303218</v>
      </c>
      <c r="E34" s="45" t="n">
        <v>20000</v>
      </c>
      <c r="F34" s="45" t="n">
        <v>20000</v>
      </c>
      <c r="G34" s="45" t="n">
        <v>20000</v>
      </c>
      <c r="H34" s="45" t="n">
        <v>20000</v>
      </c>
      <c r="I34" s="45" t="n">
        <v>20000</v>
      </c>
      <c r="J34" s="45" t="n">
        <v>20000</v>
      </c>
      <c r="K34" s="45" t="n">
        <v>20000</v>
      </c>
      <c r="L34" s="45" t="n">
        <v>20000</v>
      </c>
      <c r="M34" s="45" t="n">
        <v>20000</v>
      </c>
      <c r="N34" s="45" t="n">
        <v>20000</v>
      </c>
      <c r="O34" s="49"/>
      <c r="P34" s="51" t="n">
        <f aca="false">D34</f>
        <v>14303218</v>
      </c>
      <c r="Q34" s="49" t="n">
        <f aca="false">SUM(C34:N34)</f>
        <v>24743210</v>
      </c>
      <c r="R34" s="39" t="n">
        <f aca="false">Q34=B34</f>
        <v>1</v>
      </c>
    </row>
    <row r="35" customFormat="false" ht="11.25" hidden="false" customHeight="true" outlineLevel="0" collapsed="false">
      <c r="A35" s="50" t="s">
        <v>105</v>
      </c>
      <c r="B35" s="45" t="n">
        <f aca="false">SUM(C35:N35)</f>
        <v>603410</v>
      </c>
      <c r="C35" s="535" t="n">
        <v>33210</v>
      </c>
      <c r="D35" s="535" t="n">
        <v>70200</v>
      </c>
      <c r="E35" s="45" t="n">
        <v>50000</v>
      </c>
      <c r="F35" s="45" t="n">
        <v>50000</v>
      </c>
      <c r="G35" s="45" t="n">
        <v>50000</v>
      </c>
      <c r="H35" s="45" t="n">
        <v>50000</v>
      </c>
      <c r="I35" s="45" t="n">
        <v>50000</v>
      </c>
      <c r="J35" s="45" t="n">
        <v>50000</v>
      </c>
      <c r="K35" s="45" t="n">
        <v>50000</v>
      </c>
      <c r="L35" s="45" t="n">
        <v>50000</v>
      </c>
      <c r="M35" s="45" t="n">
        <v>50000</v>
      </c>
      <c r="N35" s="45" t="n">
        <v>50000</v>
      </c>
      <c r="O35" s="49"/>
      <c r="P35" s="51" t="n">
        <f aca="false">D35</f>
        <v>70200</v>
      </c>
      <c r="Q35" s="49" t="n">
        <f aca="false">SUM(C35:N35)</f>
        <v>603410</v>
      </c>
      <c r="R35" s="39" t="n">
        <f aca="false">Q35=B35</f>
        <v>1</v>
      </c>
    </row>
    <row r="36" customFormat="false" ht="11.25" hidden="false" customHeight="true" outlineLevel="0" collapsed="false">
      <c r="A36" s="50" t="s">
        <v>66</v>
      </c>
      <c r="B36" s="45" t="n">
        <f aca="false">SUM(C36:N36)</f>
        <v>20296611</v>
      </c>
      <c r="C36" s="535" t="n">
        <v>4634065</v>
      </c>
      <c r="D36" s="535" t="n">
        <v>262546</v>
      </c>
      <c r="E36" s="45" t="n">
        <v>3000000</v>
      </c>
      <c r="F36" s="45" t="n">
        <v>5000000</v>
      </c>
      <c r="G36" s="45" t="n">
        <v>200000</v>
      </c>
      <c r="H36" s="45" t="n">
        <v>200000</v>
      </c>
      <c r="I36" s="45" t="n">
        <v>200000</v>
      </c>
      <c r="J36" s="45" t="n">
        <v>200000</v>
      </c>
      <c r="K36" s="45" t="n">
        <v>200000</v>
      </c>
      <c r="L36" s="45" t="n">
        <v>200000</v>
      </c>
      <c r="M36" s="45" t="n">
        <v>200000</v>
      </c>
      <c r="N36" s="45" t="n">
        <v>6000000</v>
      </c>
      <c r="O36" s="49"/>
      <c r="P36" s="51" t="n">
        <f aca="false">D36</f>
        <v>262546</v>
      </c>
      <c r="Q36" s="49" t="n">
        <f aca="false">SUM(C36:N36)</f>
        <v>20296611</v>
      </c>
      <c r="R36" s="39" t="n">
        <f aca="false">Q36=B36</f>
        <v>1</v>
      </c>
    </row>
    <row r="37" customFormat="false" ht="11.25" hidden="false" customHeight="true" outlineLevel="0" collapsed="false">
      <c r="A37" s="50" t="s">
        <v>106</v>
      </c>
      <c r="B37" s="45" t="n">
        <f aca="false">SUM(C37:N37)</f>
        <v>0</v>
      </c>
      <c r="C37" s="535"/>
      <c r="D37" s="535"/>
      <c r="E37" s="45"/>
      <c r="F37" s="45"/>
      <c r="G37" s="45"/>
      <c r="H37" s="45"/>
      <c r="I37" s="45"/>
      <c r="J37" s="45"/>
      <c r="K37" s="45"/>
      <c r="L37" s="53"/>
      <c r="M37" s="45"/>
      <c r="N37" s="53"/>
      <c r="O37" s="49"/>
      <c r="P37" s="51" t="n">
        <f aca="false">D37</f>
        <v>0</v>
      </c>
      <c r="Q37" s="49" t="n">
        <f aca="false">SUM(C37:N37)</f>
        <v>0</v>
      </c>
      <c r="R37" s="39" t="n">
        <f aca="false">Q37=B37</f>
        <v>1</v>
      </c>
    </row>
    <row r="38" customFormat="false" ht="11.25" hidden="false" customHeight="true" outlineLevel="0" collapsed="false">
      <c r="A38" s="50" t="s">
        <v>107</v>
      </c>
      <c r="B38" s="45" t="n">
        <f aca="false">SUM(C38:N38)</f>
        <v>0</v>
      </c>
      <c r="C38" s="535"/>
      <c r="D38" s="535"/>
      <c r="E38" s="45"/>
      <c r="F38" s="45"/>
      <c r="G38" s="45"/>
      <c r="H38" s="45"/>
      <c r="I38" s="45"/>
      <c r="J38" s="45"/>
      <c r="K38" s="45"/>
      <c r="L38" s="45"/>
      <c r="M38" s="45"/>
      <c r="N38" s="53"/>
      <c r="O38" s="49"/>
      <c r="P38" s="51" t="n">
        <f aca="false">D38</f>
        <v>0</v>
      </c>
      <c r="Q38" s="49" t="n">
        <f aca="false">SUM(C38:N38)</f>
        <v>0</v>
      </c>
      <c r="R38" s="39" t="n">
        <f aca="false">Q38=B38</f>
        <v>1</v>
      </c>
    </row>
    <row r="39" customFormat="false" ht="11.25" hidden="false" customHeight="true" outlineLevel="0" collapsed="false">
      <c r="A39" s="50" t="s">
        <v>109</v>
      </c>
      <c r="B39" s="45" t="n">
        <f aca="false">SUM(C39:N39)</f>
        <v>0</v>
      </c>
      <c r="C39" s="535"/>
      <c r="D39" s="535"/>
      <c r="F39" s="45"/>
      <c r="H39" s="45"/>
      <c r="I39" s="45"/>
      <c r="J39" s="45"/>
      <c r="K39" s="45"/>
      <c r="L39" s="53"/>
      <c r="M39" s="53"/>
      <c r="N39" s="53"/>
      <c r="O39" s="49"/>
      <c r="P39" s="51" t="n">
        <f aca="false">D39</f>
        <v>0</v>
      </c>
      <c r="Q39" s="49" t="n">
        <f aca="false">SUM(C39:N39)</f>
        <v>0</v>
      </c>
      <c r="R39" s="39" t="n">
        <f aca="false">Q39=B39</f>
        <v>1</v>
      </c>
    </row>
    <row r="40" customFormat="false" ht="11.25" hidden="false" customHeight="true" outlineLevel="0" collapsed="false">
      <c r="A40" s="50" t="s">
        <v>110</v>
      </c>
      <c r="B40" s="45" t="n">
        <f aca="false">SUM(C40:N40)</f>
        <v>0</v>
      </c>
      <c r="C40" s="535"/>
      <c r="D40" s="53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9"/>
      <c r="P40" s="51" t="n">
        <f aca="false">D40</f>
        <v>0</v>
      </c>
      <c r="Q40" s="49" t="n">
        <f aca="false">SUM(C40:N40)</f>
        <v>0</v>
      </c>
      <c r="R40" s="39" t="n">
        <f aca="false">Q40=B40</f>
        <v>1</v>
      </c>
    </row>
    <row r="41" customFormat="false" ht="17.25" hidden="false" customHeight="true" outlineLevel="0" collapsed="false">
      <c r="A41" s="44" t="s">
        <v>111</v>
      </c>
      <c r="B41" s="45" t="n">
        <f aca="false">SUM(C41:N41)</f>
        <v>278965307.71</v>
      </c>
      <c r="C41" s="535" t="n">
        <f aca="false">C18-C19</f>
        <v>4635388</v>
      </c>
      <c r="D41" s="535" t="n">
        <f aca="false">D18-D19</f>
        <v>10959537</v>
      </c>
      <c r="E41" s="45" t="n">
        <f aca="false">E18-E19</f>
        <v>18615733.7850001</v>
      </c>
      <c r="F41" s="45" t="n">
        <f aca="false">F18-F19</f>
        <v>24767733.7850001</v>
      </c>
      <c r="G41" s="45" t="n">
        <f aca="false">G18-G19</f>
        <v>32725233.7850001</v>
      </c>
      <c r="H41" s="45" t="n">
        <f aca="false">H18-H19</f>
        <v>32725233.7850001</v>
      </c>
      <c r="I41" s="45" t="n">
        <f aca="false">I18-I19</f>
        <v>28737733.7850001</v>
      </c>
      <c r="J41" s="45" t="n">
        <f aca="false">J18-J19</f>
        <v>16775233.785</v>
      </c>
      <c r="K41" s="45" t="n">
        <f aca="false">K18-K19</f>
        <v>26705870</v>
      </c>
      <c r="L41" s="45" t="n">
        <f aca="false">L18-L19</f>
        <v>26705870</v>
      </c>
      <c r="M41" s="45" t="n">
        <f aca="false">M18-M19</f>
        <v>34705870</v>
      </c>
      <c r="N41" s="45" t="n">
        <f aca="false">N18-N19</f>
        <v>20905870</v>
      </c>
      <c r="O41" s="49"/>
      <c r="P41" s="51" t="n">
        <f aca="false">D41</f>
        <v>10959537</v>
      </c>
      <c r="Q41" s="49" t="n">
        <f aca="false">SUM(C41:N41)</f>
        <v>278965307.71</v>
      </c>
      <c r="R41" s="39" t="n">
        <f aca="false">Q41=B41</f>
        <v>1</v>
      </c>
    </row>
    <row r="42" customFormat="false" ht="13.5" hidden="false" customHeight="true" outlineLevel="0" collapsed="false">
      <c r="A42" s="44" t="s">
        <v>112</v>
      </c>
      <c r="B42" s="45" t="n">
        <f aca="false">SUM(C42:N42)</f>
        <v>110761720</v>
      </c>
      <c r="C42" s="535" t="n">
        <f aca="false">SUM(C43:C47)</f>
        <v>10552447</v>
      </c>
      <c r="D42" s="535" t="n">
        <f aca="false">SUM(D43:D47)</f>
        <v>10209273</v>
      </c>
      <c r="E42" s="45" t="n">
        <f aca="false">SUM(E43:E47)</f>
        <v>9000000</v>
      </c>
      <c r="F42" s="45" t="n">
        <f aca="false">SUM(F43:F47)</f>
        <v>9000000</v>
      </c>
      <c r="G42" s="45" t="n">
        <f aca="false">SUM(G43:G47)</f>
        <v>9000000</v>
      </c>
      <c r="H42" s="45" t="n">
        <f aca="false">SUM(H43:H47)</f>
        <v>9000000</v>
      </c>
      <c r="I42" s="45" t="n">
        <f aca="false">SUM(I43:I47)</f>
        <v>9000000</v>
      </c>
      <c r="J42" s="45" t="n">
        <f aca="false">SUM(J43:J47)</f>
        <v>9000000</v>
      </c>
      <c r="K42" s="45" t="n">
        <f aca="false">SUM(K43:K47)</f>
        <v>9000000</v>
      </c>
      <c r="L42" s="45" t="n">
        <f aca="false">SUM(L43:L47)</f>
        <v>9000000</v>
      </c>
      <c r="M42" s="45" t="n">
        <f aca="false">SUM(M43:M47)</f>
        <v>9000000</v>
      </c>
      <c r="N42" s="45" t="n">
        <f aca="false">SUM(N43:N47)</f>
        <v>9000000</v>
      </c>
      <c r="O42" s="49"/>
      <c r="P42" s="51" t="n">
        <f aca="false">D42</f>
        <v>10209273</v>
      </c>
      <c r="Q42" s="49" t="n">
        <f aca="false">SUM(C42:N42)</f>
        <v>110761720</v>
      </c>
      <c r="R42" s="39" t="n">
        <f aca="false">Q42=B42</f>
        <v>1</v>
      </c>
    </row>
    <row r="43" customFormat="false" ht="11.25" hidden="false" customHeight="true" outlineLevel="0" collapsed="false">
      <c r="A43" s="50" t="s">
        <v>113</v>
      </c>
      <c r="B43" s="45" t="n">
        <f aca="false">SUM(C43:N43)</f>
        <v>603</v>
      </c>
      <c r="C43" s="535" t="n">
        <v>603</v>
      </c>
      <c r="D43" s="53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9"/>
      <c r="P43" s="51" t="n">
        <f aca="false">D43</f>
        <v>0</v>
      </c>
      <c r="Q43" s="49" t="n">
        <f aca="false">SUM(C43:N43)</f>
        <v>603</v>
      </c>
      <c r="R43" s="39" t="n">
        <f aca="false">Q43=B43</f>
        <v>1</v>
      </c>
    </row>
    <row r="44" customFormat="false" ht="11.25" hidden="false" customHeight="true" outlineLevel="0" collapsed="false">
      <c r="A44" s="50" t="s">
        <v>114</v>
      </c>
      <c r="B44" s="45" t="n">
        <f aca="false">SUM(C44:N44)</f>
        <v>0</v>
      </c>
      <c r="C44" s="535"/>
      <c r="D44" s="53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9"/>
      <c r="P44" s="51" t="n">
        <f aca="false">D44</f>
        <v>0</v>
      </c>
      <c r="Q44" s="49" t="n">
        <f aca="false">SUM(C44:N44)</f>
        <v>0</v>
      </c>
      <c r="R44" s="39" t="n">
        <f aca="false">Q44=B44</f>
        <v>1</v>
      </c>
    </row>
    <row r="45" customFormat="false" ht="11.25" hidden="false" customHeight="true" outlineLevel="0" collapsed="false">
      <c r="A45" s="50" t="s">
        <v>390</v>
      </c>
      <c r="B45" s="45" t="n">
        <f aca="false">SUM(C45:N45)</f>
        <v>0</v>
      </c>
      <c r="C45" s="535"/>
      <c r="D45" s="535"/>
      <c r="E45" s="45"/>
      <c r="F45" s="45"/>
      <c r="H45" s="45"/>
      <c r="I45" s="45"/>
      <c r="J45" s="45"/>
      <c r="K45" s="45"/>
      <c r="L45" s="45"/>
      <c r="M45" s="45"/>
      <c r="N45" s="45"/>
      <c r="O45" s="49"/>
      <c r="P45" s="51" t="n">
        <f aca="false">D45</f>
        <v>0</v>
      </c>
      <c r="Q45" s="49" t="n">
        <f aca="false">SUM(C45:N45)</f>
        <v>0</v>
      </c>
      <c r="R45" s="39" t="n">
        <f aca="false">Q45=B45</f>
        <v>1</v>
      </c>
    </row>
    <row r="46" customFormat="false" ht="11.25" hidden="false" customHeight="true" outlineLevel="0" collapsed="false">
      <c r="A46" s="62" t="s">
        <v>116</v>
      </c>
      <c r="B46" s="45" t="n">
        <f aca="false">SUM(C46:N46)</f>
        <v>0</v>
      </c>
      <c r="C46" s="535"/>
      <c r="D46" s="53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9"/>
      <c r="P46" s="51" t="n">
        <f aca="false">D46</f>
        <v>0</v>
      </c>
      <c r="Q46" s="49" t="n">
        <f aca="false">SUM(C46:N46)</f>
        <v>0</v>
      </c>
      <c r="R46" s="39" t="n">
        <f aca="false">Q46=B46</f>
        <v>1</v>
      </c>
    </row>
    <row r="47" customFormat="false" ht="11.25" hidden="false" customHeight="true" outlineLevel="0" collapsed="false">
      <c r="A47" s="50" t="s">
        <v>117</v>
      </c>
      <c r="B47" s="45" t="n">
        <f aca="false">SUM(C47:N47)</f>
        <v>110761117</v>
      </c>
      <c r="C47" s="535" t="n">
        <v>10551844</v>
      </c>
      <c r="D47" s="535" t="n">
        <v>10209273</v>
      </c>
      <c r="E47" s="45" t="n">
        <v>9000000</v>
      </c>
      <c r="F47" s="45" t="n">
        <v>9000000</v>
      </c>
      <c r="G47" s="45" t="n">
        <v>9000000</v>
      </c>
      <c r="H47" s="45" t="n">
        <v>9000000</v>
      </c>
      <c r="I47" s="45" t="n">
        <v>9000000</v>
      </c>
      <c r="J47" s="45" t="n">
        <v>9000000</v>
      </c>
      <c r="K47" s="45" t="n">
        <v>9000000</v>
      </c>
      <c r="L47" s="45" t="n">
        <v>9000000</v>
      </c>
      <c r="M47" s="45" t="n">
        <v>9000000</v>
      </c>
      <c r="N47" s="45" t="n">
        <v>9000000</v>
      </c>
      <c r="O47" s="49"/>
      <c r="P47" s="51" t="n">
        <f aca="false">D47</f>
        <v>10209273</v>
      </c>
      <c r="Q47" s="49" t="n">
        <f aca="false">SUM(C47:N47)</f>
        <v>110761117</v>
      </c>
      <c r="R47" s="39" t="n">
        <f aca="false">Q47=B47</f>
        <v>1</v>
      </c>
    </row>
    <row r="48" customFormat="false" ht="14.25" hidden="false" customHeight="true" outlineLevel="0" collapsed="false">
      <c r="A48" s="44" t="s">
        <v>118</v>
      </c>
      <c r="B48" s="45" t="n">
        <f aca="false">SUM(C48:N48)</f>
        <v>1275297936.64384</v>
      </c>
      <c r="C48" s="535" t="n">
        <f aca="false">SUM(C49:C53)</f>
        <v>98935577</v>
      </c>
      <c r="D48" s="535" t="n">
        <f aca="false">SUM(D49:D53)</f>
        <v>86428798</v>
      </c>
      <c r="E48" s="45" t="n">
        <f aca="false">SUM(E49:E53)</f>
        <v>135000000</v>
      </c>
      <c r="F48" s="45" t="n">
        <f aca="false">SUM(F49:F53)</f>
        <v>94000000</v>
      </c>
      <c r="G48" s="45" t="n">
        <f aca="false">SUM(G49:G53)</f>
        <v>91186712.3287671</v>
      </c>
      <c r="H48" s="45" t="n">
        <f aca="false">SUM(H49:H53)</f>
        <v>135000000</v>
      </c>
      <c r="I48" s="45" t="n">
        <f aca="false">SUM(I49:I53)</f>
        <v>91186712.3287671</v>
      </c>
      <c r="J48" s="45" t="n">
        <f aca="false">SUM(J49:J53)</f>
        <v>91186712.3287671</v>
      </c>
      <c r="K48" s="45" t="n">
        <f aca="false">SUM(K49:K53)</f>
        <v>135000000</v>
      </c>
      <c r="L48" s="45" t="n">
        <f aca="false">SUM(L49:L53)</f>
        <v>91186712.3287671</v>
      </c>
      <c r="M48" s="45" t="n">
        <f aca="false">SUM(M49:M53)</f>
        <v>91186712.3287671</v>
      </c>
      <c r="N48" s="45" t="n">
        <f aca="false">SUM(N49:N53)</f>
        <v>135000000</v>
      </c>
      <c r="O48" s="49"/>
      <c r="P48" s="51" t="n">
        <f aca="false">D48</f>
        <v>86428798</v>
      </c>
      <c r="Q48" s="49" t="n">
        <f aca="false">SUM(C48:N48)</f>
        <v>1275297936.64384</v>
      </c>
      <c r="R48" s="39" t="n">
        <f aca="false">Q48=B48</f>
        <v>1</v>
      </c>
    </row>
    <row r="49" customFormat="false" ht="11.25" hidden="false" customHeight="true" outlineLevel="0" collapsed="false">
      <c r="A49" s="50" t="s">
        <v>119</v>
      </c>
      <c r="B49" s="45" t="n">
        <f aca="false">SUM(C49:N49)</f>
        <v>1275297936.64384</v>
      </c>
      <c r="C49" s="535" t="n">
        <v>98935577</v>
      </c>
      <c r="D49" s="535" t="n">
        <v>86428798</v>
      </c>
      <c r="E49" s="45" t="n">
        <v>135000000</v>
      </c>
      <c r="F49" s="45" t="n">
        <v>94000000</v>
      </c>
      <c r="G49" s="45" t="n">
        <v>91186712.3287671</v>
      </c>
      <c r="H49" s="45" t="n">
        <v>135000000</v>
      </c>
      <c r="I49" s="45" t="n">
        <v>91186712.3287671</v>
      </c>
      <c r="J49" s="45" t="n">
        <v>91186712.3287671</v>
      </c>
      <c r="K49" s="45" t="n">
        <v>135000000</v>
      </c>
      <c r="L49" s="45" t="n">
        <v>91186712.3287671</v>
      </c>
      <c r="M49" s="45" t="n">
        <v>91186712.3287671</v>
      </c>
      <c r="N49" s="45" t="n">
        <v>135000000</v>
      </c>
      <c r="O49" s="49"/>
      <c r="P49" s="51" t="n">
        <f aca="false">D49</f>
        <v>86428798</v>
      </c>
      <c r="Q49" s="49" t="n">
        <f aca="false">SUM(C49:N49)</f>
        <v>1275297936.64384</v>
      </c>
      <c r="R49" s="39" t="n">
        <f aca="false">Q49=B49</f>
        <v>1</v>
      </c>
    </row>
    <row r="50" customFormat="false" ht="11.25" hidden="false" customHeight="true" outlineLevel="0" collapsed="false">
      <c r="A50" s="50" t="s">
        <v>120</v>
      </c>
      <c r="B50" s="45" t="n">
        <f aca="false">SUM(C50:N50)</f>
        <v>0</v>
      </c>
      <c r="C50" s="535"/>
      <c r="D50" s="53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9"/>
      <c r="P50" s="51" t="n">
        <f aca="false">D50</f>
        <v>0</v>
      </c>
      <c r="Q50" s="49" t="n">
        <f aca="false">SUM(C50:N50)</f>
        <v>0</v>
      </c>
      <c r="R50" s="39" t="n">
        <f aca="false">Q50=B50</f>
        <v>1</v>
      </c>
    </row>
    <row r="51" customFormat="false" ht="11.25" hidden="false" customHeight="true" outlineLevel="0" collapsed="false">
      <c r="A51" s="50" t="s">
        <v>121</v>
      </c>
      <c r="B51" s="45" t="n">
        <f aca="false">SUM(C51:N51)</f>
        <v>0</v>
      </c>
      <c r="C51" s="535"/>
      <c r="D51" s="535"/>
      <c r="F51" s="45"/>
      <c r="H51" s="45"/>
      <c r="I51" s="45"/>
      <c r="J51" s="45"/>
      <c r="K51" s="45"/>
      <c r="L51" s="45"/>
      <c r="M51" s="45"/>
      <c r="N51" s="45"/>
      <c r="O51" s="49"/>
      <c r="P51" s="51" t="n">
        <f aca="false">D51</f>
        <v>0</v>
      </c>
      <c r="Q51" s="49" t="n">
        <f aca="false">SUM(C51:N51)</f>
        <v>0</v>
      </c>
      <c r="R51" s="39" t="n">
        <f aca="false">Q51=B51</f>
        <v>1</v>
      </c>
    </row>
    <row r="52" customFormat="false" ht="11.25" hidden="false" customHeight="true" outlineLevel="0" collapsed="false">
      <c r="A52" s="50" t="s">
        <v>122</v>
      </c>
      <c r="B52" s="45" t="n">
        <f aca="false">SUM(C52:N52)</f>
        <v>0</v>
      </c>
      <c r="C52" s="535"/>
      <c r="D52" s="53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9"/>
      <c r="P52" s="51" t="n">
        <f aca="false">D52</f>
        <v>0</v>
      </c>
      <c r="Q52" s="49" t="n">
        <f aca="false">SUM(C52:N52)</f>
        <v>0</v>
      </c>
      <c r="R52" s="39" t="n">
        <f aca="false">Q52=B52</f>
        <v>1</v>
      </c>
    </row>
    <row r="53" customFormat="false" ht="11.25" hidden="false" customHeight="true" outlineLevel="0" collapsed="false">
      <c r="A53" s="50" t="s">
        <v>123</v>
      </c>
      <c r="B53" s="45" t="n">
        <f aca="false">SUM(C53:N53)</f>
        <v>0</v>
      </c>
      <c r="C53" s="535"/>
      <c r="D53" s="53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9"/>
      <c r="P53" s="51" t="n">
        <f aca="false">D53</f>
        <v>0</v>
      </c>
      <c r="Q53" s="49" t="n">
        <f aca="false">SUM(C53:N53)</f>
        <v>0</v>
      </c>
      <c r="R53" s="39" t="n">
        <f aca="false">Q53=B53</f>
        <v>1</v>
      </c>
    </row>
    <row r="54" customFormat="false" ht="13.5" hidden="false" customHeight="true" outlineLevel="0" collapsed="false">
      <c r="A54" s="44" t="s">
        <v>124</v>
      </c>
      <c r="B54" s="45" t="n">
        <f aca="false">SUM(C54:N54)</f>
        <v>-885570908.933835</v>
      </c>
      <c r="C54" s="535" t="n">
        <f aca="false">C41+C42-C48</f>
        <v>-83747742</v>
      </c>
      <c r="D54" s="535" t="n">
        <f aca="false">D41+D42-D48</f>
        <v>-65259988</v>
      </c>
      <c r="E54" s="45" t="n">
        <f aca="false">E41+E42-E48</f>
        <v>-107384266.215</v>
      </c>
      <c r="F54" s="45" t="n">
        <f aca="false">F41+F42-F48</f>
        <v>-60232266.2149999</v>
      </c>
      <c r="G54" s="45" t="n">
        <f aca="false">G41+G42-G48</f>
        <v>-49461478.543767</v>
      </c>
      <c r="H54" s="45" t="n">
        <f aca="false">H41+H42-H48</f>
        <v>-93274766.2149999</v>
      </c>
      <c r="I54" s="45" t="n">
        <f aca="false">I41+I42-I48</f>
        <v>-53448978.543767</v>
      </c>
      <c r="J54" s="45" t="n">
        <f aca="false">J41+J42-J48</f>
        <v>-65411478.5437671</v>
      </c>
      <c r="K54" s="45" t="n">
        <f aca="false">K41+K42-K48</f>
        <v>-99294130</v>
      </c>
      <c r="L54" s="45" t="n">
        <f aca="false">L41+L42-L48</f>
        <v>-55480842.3287671</v>
      </c>
      <c r="M54" s="45" t="n">
        <f aca="false">M41+M42-M48</f>
        <v>-47480842.3287671</v>
      </c>
      <c r="N54" s="45" t="n">
        <f aca="false">N41+N42-N48</f>
        <v>-105094130</v>
      </c>
      <c r="O54" s="49"/>
      <c r="P54" s="51" t="n">
        <f aca="false">D54</f>
        <v>-65259988</v>
      </c>
      <c r="Q54" s="49" t="n">
        <f aca="false">SUM(C54:N54)</f>
        <v>-885570908.933835</v>
      </c>
      <c r="R54" s="39" t="n">
        <f aca="false">Q54=B54</f>
        <v>1</v>
      </c>
    </row>
    <row r="55" customFormat="false" ht="13.5" hidden="false" customHeight="true" outlineLevel="0" collapsed="false">
      <c r="A55" s="44" t="s">
        <v>125</v>
      </c>
      <c r="B55" s="45" t="n">
        <f aca="false">SUM(C55:N55)</f>
        <v>0</v>
      </c>
      <c r="C55" s="535"/>
      <c r="D55" s="53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9"/>
      <c r="P55" s="51" t="n">
        <f aca="false">D55</f>
        <v>0</v>
      </c>
      <c r="Q55" s="49" t="n">
        <f aca="false">SUM(C55:N55)</f>
        <v>0</v>
      </c>
      <c r="R55" s="39" t="n">
        <f aca="false">Q55=B55</f>
        <v>1</v>
      </c>
    </row>
    <row r="56" customFormat="false" ht="13.5" hidden="false" customHeight="true" outlineLevel="0" collapsed="false">
      <c r="A56" s="44" t="s">
        <v>126</v>
      </c>
      <c r="B56" s="63" t="n">
        <f aca="false">SUM(C56:N56)</f>
        <v>-885570908.933835</v>
      </c>
      <c r="C56" s="538" t="n">
        <f aca="false">C54-C55</f>
        <v>-83747742</v>
      </c>
      <c r="D56" s="539" t="n">
        <f aca="false">D54-D55</f>
        <v>-65259988</v>
      </c>
      <c r="E56" s="63" t="n">
        <f aca="false">E54-E55</f>
        <v>-107384266.215</v>
      </c>
      <c r="F56" s="64" t="n">
        <f aca="false">F54-F55</f>
        <v>-60232266.2149999</v>
      </c>
      <c r="G56" s="63" t="n">
        <f aca="false">G54-G55</f>
        <v>-49461478.543767</v>
      </c>
      <c r="H56" s="65" t="n">
        <f aca="false">H54-H55</f>
        <v>-93274766.2149999</v>
      </c>
      <c r="I56" s="64" t="n">
        <f aca="false">I54-I55</f>
        <v>-53448978.543767</v>
      </c>
      <c r="J56" s="65" t="n">
        <f aca="false">J54-J55</f>
        <v>-65411478.5437671</v>
      </c>
      <c r="K56" s="65" t="n">
        <f aca="false">K54-K55</f>
        <v>-99294130</v>
      </c>
      <c r="L56" s="65" t="n">
        <f aca="false">L54-L55</f>
        <v>-55480842.3287671</v>
      </c>
      <c r="M56" s="65" t="n">
        <f aca="false">M54-M55</f>
        <v>-47480842.3287671</v>
      </c>
      <c r="N56" s="65" t="n">
        <f aca="false">N54-N55</f>
        <v>-105094130</v>
      </c>
      <c r="O56" s="49"/>
      <c r="P56" s="51" t="n">
        <f aca="false">D56</f>
        <v>-65259988</v>
      </c>
      <c r="Q56" s="49" t="n">
        <f aca="false">SUM(C56:N56)</f>
        <v>-885570908.933835</v>
      </c>
      <c r="R56" s="39" t="n">
        <f aca="false">Q56=B56</f>
        <v>1</v>
      </c>
    </row>
    <row r="57" customFormat="false" ht="11.25" hidden="false" customHeight="true" outlineLevel="0" collapsed="false"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customFormat="false" ht="11.25" hidden="false" customHeight="true" outlineLevel="0" collapsed="false"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</row>
    <row r="59" customFormat="false" ht="11.25" hidden="false" customHeight="true" outlineLevel="0" collapsed="false">
      <c r="D59" s="39" t="s">
        <v>416</v>
      </c>
      <c r="E59" s="49" t="n">
        <f aca="false">1500000000*3.75%/365*31</f>
        <v>4777397.26027397</v>
      </c>
      <c r="H59" s="51"/>
      <c r="I59" s="540" t="s">
        <v>417</v>
      </c>
      <c r="J59" s="541" t="n">
        <v>36000000</v>
      </c>
    </row>
    <row r="60" customFormat="false" ht="11.25" hidden="false" customHeight="true" outlineLevel="0" collapsed="false">
      <c r="D60" s="60" t="s">
        <v>235</v>
      </c>
      <c r="E60" s="49" t="n">
        <f aca="false">550000000*4.6%/365*31</f>
        <v>2148767.12328767</v>
      </c>
      <c r="H60" s="51"/>
      <c r="I60" s="540" t="s">
        <v>418</v>
      </c>
      <c r="J60" s="541" t="n">
        <v>19070000000</v>
      </c>
    </row>
    <row r="61" customFormat="false" ht="11.25" hidden="false" customHeight="true" outlineLevel="0" collapsed="false">
      <c r="D61" s="39" t="s">
        <v>419</v>
      </c>
      <c r="E61" s="49" t="n">
        <f aca="false">14300000000*6.6%/365*31</f>
        <v>80158356.1643836</v>
      </c>
      <c r="H61" s="51"/>
      <c r="I61" s="540" t="s">
        <v>420</v>
      </c>
      <c r="J61" s="541" t="n">
        <f aca="false">J60/J59</f>
        <v>529.722222222222</v>
      </c>
    </row>
    <row r="62" customFormat="false" ht="11.25" hidden="false" customHeight="true" outlineLevel="0" collapsed="false">
      <c r="D62" s="542" t="s">
        <v>421</v>
      </c>
      <c r="E62" s="543" t="n">
        <f aca="false">700000000*6.9%/365*31</f>
        <v>4102191.78082192</v>
      </c>
      <c r="I62" s="60" t="s">
        <v>422</v>
      </c>
      <c r="J62" s="541" t="n">
        <v>1000</v>
      </c>
      <c r="O62" s="66" t="s">
        <v>127</v>
      </c>
      <c r="P62" s="51" t="n">
        <f aca="false">SUM(P20:P23)</f>
        <v>23537371</v>
      </c>
      <c r="Q62" s="51" t="n">
        <f aca="false">SUM(Q20:Q23)</f>
        <v>228491410</v>
      </c>
    </row>
    <row r="63" customFormat="false" ht="11.25" hidden="false" customHeight="true" outlineLevel="0" collapsed="false">
      <c r="E63" s="49" t="n">
        <f aca="false">SUM(E59:E62)</f>
        <v>91186712.3287671</v>
      </c>
      <c r="I63" s="60" t="s">
        <v>423</v>
      </c>
      <c r="J63" s="541" t="n">
        <f aca="false">B46/J62</f>
        <v>0</v>
      </c>
      <c r="O63" s="66" t="s">
        <v>128</v>
      </c>
      <c r="P63" s="51"/>
      <c r="Q63" s="51"/>
    </row>
    <row r="64" customFormat="false" ht="11.25" hidden="false" customHeight="true" outlineLevel="0" collapsed="false">
      <c r="I64" s="60" t="s">
        <v>424</v>
      </c>
      <c r="J64" s="544" t="n">
        <v>46593</v>
      </c>
      <c r="O64" s="66" t="s">
        <v>129</v>
      </c>
      <c r="P64" s="51" t="n">
        <f aca="false">+P19-P62-P65</f>
        <v>20069845</v>
      </c>
      <c r="Q64" s="51" t="n">
        <f aca="false">+Q19-Q62-Q65</f>
        <v>87165990</v>
      </c>
    </row>
    <row r="65" customFormat="false" ht="13.5" hidden="false" customHeight="true" outlineLevel="0" collapsed="false">
      <c r="D65" s="60" t="s">
        <v>425</v>
      </c>
      <c r="E65" s="49" t="n">
        <f aca="false">400000000*8.3%/12</f>
        <v>2766666.66666667</v>
      </c>
      <c r="O65" s="66" t="s">
        <v>130</v>
      </c>
      <c r="P65" s="51" t="n">
        <f aca="false">+P30</f>
        <v>301130</v>
      </c>
      <c r="Q65" s="51" t="n">
        <f aca="false">+Q30</f>
        <v>3613560</v>
      </c>
    </row>
    <row r="66" customFormat="false" ht="13.5" hidden="false" customHeight="true" outlineLevel="0" collapsed="false">
      <c r="D66" s="60" t="s">
        <v>426</v>
      </c>
      <c r="E66" s="49" t="n">
        <v>43000000</v>
      </c>
    </row>
  </sheetData>
  <printOptions headings="false" gridLines="false" gridLinesSet="true" horizontalCentered="false" verticalCentered="false"/>
  <pageMargins left="0.25" right="0.25" top="0.590277777777778" bottom="0.5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14" activeCellId="0" sqref="C14"/>
    </sheetView>
  </sheetViews>
  <sheetFormatPr defaultColWidth="9" defaultRowHeight="14.25" zeroHeight="false" outlineLevelRow="0" outlineLevelCol="0"/>
  <cols>
    <col collapsed="false" customWidth="true" hidden="false" outlineLevel="0" max="1" min="1" style="98" width="1.6"/>
    <col collapsed="false" customWidth="true" hidden="false" outlineLevel="0" max="2" min="2" style="98" width="19.2"/>
    <col collapsed="false" customWidth="true" hidden="false" outlineLevel="0" max="4" min="3" style="101" width="19.2"/>
    <col collapsed="false" customWidth="false" hidden="false" outlineLevel="0" max="16384" min="5" style="98" width="9"/>
  </cols>
  <sheetData>
    <row r="1" customFormat="false" ht="29.25" hidden="false" customHeight="true" outlineLevel="0" collapsed="false">
      <c r="B1" s="102" t="s">
        <v>427</v>
      </c>
    </row>
    <row r="2" s="107" customFormat="true" ht="6" hidden="false" customHeight="true" outlineLevel="0" collapsed="false">
      <c r="A2" s="104"/>
      <c r="B2" s="105"/>
      <c r="C2" s="106"/>
      <c r="D2" s="106"/>
    </row>
    <row r="3" customFormat="false" ht="24.75" hidden="false" customHeight="true" outlineLevel="0" collapsed="false">
      <c r="B3" s="108"/>
      <c r="D3" s="109" t="s">
        <v>221</v>
      </c>
    </row>
    <row r="4" customFormat="false" ht="30" hidden="false" customHeight="true" outlineLevel="0" collapsed="false">
      <c r="B4" s="112" t="s">
        <v>222</v>
      </c>
      <c r="C4" s="112" t="s">
        <v>227</v>
      </c>
      <c r="D4" s="112"/>
    </row>
    <row r="5" customFormat="false" ht="24" hidden="false" customHeight="true" outlineLevel="0" collapsed="false">
      <c r="B5" s="162" t="s">
        <v>244</v>
      </c>
      <c r="C5" s="163" t="n">
        <f aca="false">'PL_26 계획'!B3/1000000</f>
        <v>6795.051033</v>
      </c>
      <c r="D5" s="164" t="n">
        <f aca="false">IFERROR(C5/C$5,"-")</f>
        <v>1</v>
      </c>
    </row>
    <row r="6" customFormat="false" ht="24.75" hidden="false" customHeight="true" outlineLevel="0" collapsed="false">
      <c r="B6" s="128" t="s">
        <v>254</v>
      </c>
      <c r="C6" s="185" t="n">
        <f aca="false">('PL_26 계획'!B8-'PL_26 계획'!B12)/1000000</f>
        <v>6379.63516129</v>
      </c>
      <c r="D6" s="545" t="n">
        <f aca="false">IFERROR(C6/C$5,"-")</f>
        <v>0.938864937188471</v>
      </c>
    </row>
    <row r="7" s="156" customFormat="true" ht="24.75" hidden="false" customHeight="true" outlineLevel="0" collapsed="false">
      <c r="A7" s="98"/>
      <c r="B7" s="194" t="s">
        <v>428</v>
      </c>
      <c r="C7" s="195" t="n">
        <f aca="false">'PL_26 계획'!B12/1000000</f>
        <v>-182.820396</v>
      </c>
      <c r="D7" s="196" t="n">
        <f aca="false">IFERROR(C7/C$5,"-")</f>
        <v>-0.0269049334746917</v>
      </c>
    </row>
    <row r="8" s="154" customFormat="true" ht="24.75" hidden="false" customHeight="true" outlineLevel="0" collapsed="false">
      <c r="A8" s="98"/>
      <c r="B8" s="162" t="s">
        <v>254</v>
      </c>
      <c r="C8" s="163" t="n">
        <f aca="false">SUM(C6:C7)</f>
        <v>6196.81476529</v>
      </c>
      <c r="D8" s="164" t="n">
        <f aca="false">IFERROR(C8/C$5,"-")</f>
        <v>0.911960003713779</v>
      </c>
    </row>
    <row r="9" customFormat="false" ht="24.75" hidden="false" customHeight="true" outlineLevel="0" collapsed="false">
      <c r="B9" s="206" t="s">
        <v>255</v>
      </c>
      <c r="C9" s="207" t="n">
        <f aca="false">C5-C8</f>
        <v>598.23626771</v>
      </c>
      <c r="D9" s="208" t="n">
        <f aca="false">IFERROR(C9/C$5,"-")</f>
        <v>0.0880399962862207</v>
      </c>
    </row>
    <row r="10" customFormat="false" ht="24.75" hidden="true" customHeight="true" outlineLevel="0" collapsed="false">
      <c r="B10" s="116" t="s">
        <v>256</v>
      </c>
      <c r="C10" s="119"/>
      <c r="D10" s="120" t="n">
        <f aca="false">IFERROR(C10/C$5,"-")</f>
        <v>0</v>
      </c>
    </row>
    <row r="11" customFormat="false" ht="24.75" hidden="true" customHeight="true" outlineLevel="0" collapsed="false">
      <c r="B11" s="128" t="s">
        <v>258</v>
      </c>
      <c r="C11" s="135"/>
      <c r="D11" s="210" t="n">
        <f aca="false">IFERROR(C11/C$5,"-")</f>
        <v>0</v>
      </c>
    </row>
    <row r="12" customFormat="false" ht="24.75" hidden="true" customHeight="true" outlineLevel="0" collapsed="false">
      <c r="B12" s="128" t="s">
        <v>129</v>
      </c>
      <c r="C12" s="135"/>
      <c r="D12" s="210" t="n">
        <f aca="false">IFERROR(C12/C$5,"-")</f>
        <v>0</v>
      </c>
    </row>
    <row r="13" customFormat="false" ht="24.75" hidden="true" customHeight="true" outlineLevel="0" collapsed="false">
      <c r="B13" s="194" t="s">
        <v>130</v>
      </c>
      <c r="C13" s="214"/>
      <c r="D13" s="215" t="n">
        <f aca="false">IFERROR(C13/C$5,"-")</f>
        <v>0</v>
      </c>
    </row>
    <row r="14" customFormat="false" ht="24.75" hidden="false" customHeight="true" outlineLevel="0" collapsed="false">
      <c r="B14" s="216" t="s">
        <v>260</v>
      </c>
      <c r="C14" s="217" t="n">
        <v>319</v>
      </c>
      <c r="D14" s="218" t="n">
        <f aca="false">IFERROR(C14/C$5,"-")</f>
        <v>0.0469459314508139</v>
      </c>
    </row>
    <row r="15" customFormat="false" ht="24.75" hidden="false" customHeight="true" outlineLevel="0" collapsed="false">
      <c r="B15" s="206" t="s">
        <v>261</v>
      </c>
      <c r="C15" s="207" t="n">
        <f aca="false">C9-C14</f>
        <v>279.23626771</v>
      </c>
      <c r="D15" s="208" t="n">
        <f aca="false">IFERROR(C15/C$5,"-")</f>
        <v>0.0410940648354068</v>
      </c>
    </row>
    <row r="16" customFormat="false" ht="24.75" hidden="true" customHeight="true" outlineLevel="0" collapsed="false">
      <c r="B16" s="116" t="s">
        <v>263</v>
      </c>
      <c r="C16" s="119" t="n">
        <v>111</v>
      </c>
      <c r="D16" s="120" t="n">
        <f aca="false">IFERROR(C16/C$5,"-")</f>
        <v>0.0163354181537315</v>
      </c>
    </row>
    <row r="17" customFormat="false" ht="24.75" hidden="true" customHeight="true" outlineLevel="0" collapsed="false">
      <c r="B17" s="194" t="s">
        <v>264</v>
      </c>
      <c r="C17" s="214" t="n">
        <v>1275.3</v>
      </c>
      <c r="D17" s="215" t="n">
        <f aca="false">IFERROR(C17/C$5,"-")</f>
        <v>0.187680709652736</v>
      </c>
    </row>
    <row r="18" s="154" customFormat="true" ht="24.75" hidden="false" customHeight="true" outlineLevel="0" collapsed="false">
      <c r="A18" s="98"/>
      <c r="B18" s="162" t="s">
        <v>429</v>
      </c>
      <c r="C18" s="163" t="n">
        <f aca="false">C16-C17</f>
        <v>-1164.3</v>
      </c>
      <c r="D18" s="164" t="n">
        <f aca="false">IFERROR(C18/C$5,"-")</f>
        <v>-0.171345291499005</v>
      </c>
    </row>
    <row r="19" customFormat="false" ht="24.75" hidden="false" customHeight="true" outlineLevel="0" collapsed="false">
      <c r="B19" s="206" t="s">
        <v>266</v>
      </c>
      <c r="C19" s="207" t="n">
        <f aca="false">C15+C16-C17</f>
        <v>-885.06373229</v>
      </c>
      <c r="D19" s="208" t="n">
        <f aca="false">IFERROR(C19/C$5,"-")</f>
        <v>-0.130251226663598</v>
      </c>
    </row>
    <row r="20" customFormat="false" ht="24.75" hidden="false" customHeight="true" outlineLevel="0" collapsed="false">
      <c r="B20" s="221"/>
      <c r="C20" s="224"/>
      <c r="D20" s="224"/>
    </row>
  </sheetData>
  <mergeCells count="1">
    <mergeCell ref="C4:D4"/>
  </mergeCells>
  <conditionalFormatting sqref="D5:D6 D8:D1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2018-07-10T12:47:00Z</dcterms:created>
  <dc:creator>pc31</dc:creator>
  <dc:description/>
  <dc:language>en-US</dc:language>
  <cp:lastModifiedBy>김민지</cp:lastModifiedBy>
  <cp:lastPrinted>2026-08-07T05:02:18Z</cp:lastPrinted>
  <dcterms:modified xsi:type="dcterms:W3CDTF">2026-08-13T07:40:09Z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18645b42-10b7-41da-900c-405b41228ea9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2026-01-27T08:55:31Z</vt:lpwstr>
  </property>
  <property fmtid="{D5CDD505-2E9C-101B-9397-08002B2CF9AE}" pid="8" name="MSIP_Label_defa4170-0d19-0005-0004-bc88714345d2_SiteId">
    <vt:lpwstr>0938762f-c7b3-41be-bcb2-d405cd0437c3</vt:lpwstr>
  </property>
  <property fmtid="{D5CDD505-2E9C-101B-9397-08002B2CF9AE}" pid="9" name="MSIP_Label_defa4170-0d19-0005-0004-bc88714345d2_Tag">
    <vt:lpwstr>10, 3, 0, 1</vt:lpwstr>
  </property>
</Properties>
</file>