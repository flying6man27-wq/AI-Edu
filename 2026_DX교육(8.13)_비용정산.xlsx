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교육비용" sheetId="1" state="visible" r:id="rId1"/>
  </sheets>
  <definedNames>
    <definedName name="_xlnm.Print_Area" localSheetId="0">'교육비용'!$A$1:$E$18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1F4E79"/>
      <sz val="16"/>
    </font>
    <font>
      <name val="맑은 고딕"/>
      <color rgb="00595959"/>
      <sz val="10"/>
    </font>
    <font>
      <name val="맑은 고딕"/>
      <b val="1"/>
      <color rgb="00FFFFFF"/>
      <sz val="11"/>
    </font>
    <font>
      <name val="맑은 고딕"/>
      <b val="1"/>
      <sz val="11"/>
    </font>
    <font>
      <name val="맑은 고딕"/>
      <b val="1"/>
      <sz val="12"/>
    </font>
    <font>
      <name val="맑은 고딕"/>
      <sz val="11"/>
    </font>
    <font>
      <name val="맑은 고딕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4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medium">
        <color rgb="00404040"/>
      </top>
      <bottom style="thin">
        <color rgb="00B0B0B0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0B0B0"/>
      </left>
      <right style="thin">
        <color rgb="00B0B0B0"/>
      </right>
      <top style="medium">
        <color rgb="00404040"/>
      </top>
      <bottom style="medium">
        <color rgb="0040404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3" fontId="3" fillId="2" borderId="1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/>
    </xf>
    <xf numFmtId="0" fontId="6" fillId="0" borderId="2" pivotButton="0" quotePrefix="0" xfId="0"/>
    <xf numFmtId="3" fontId="6" fillId="0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6" fillId="3" borderId="2" pivotButton="0" quotePrefix="0" xfId="0"/>
    <xf numFmtId="3" fontId="6" fillId="3" borderId="2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0" fontId="6" fillId="4" borderId="3" pivotButton="0" quotePrefix="0" xfId="0"/>
    <xf numFmtId="3" fontId="5" fillId="4" borderId="3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8" customWidth="1" min="4" max="4"/>
    <col width="22" customWidth="1" min="5" max="5"/>
  </cols>
  <sheetData>
    <row r="1" ht="30" customHeight="1">
      <c r="A1" s="1" t="inlineStr">
        <is>
          <t>2026년 DX 교육 비용 정산 내역</t>
        </is>
      </c>
    </row>
    <row r="2" ht="20" customHeight="1">
      <c r="A2" s="2" t="inlineStr">
        <is>
          <t>교육명 : DX 교육    |    교육일자 : 2026. 8. 13.(목)    |    작성일 : 2026. 8. 14.</t>
        </is>
      </c>
    </row>
    <row r="4" ht="24" customHeight="1">
      <c r="A4" s="3" t="inlineStr">
        <is>
          <t>연번</t>
        </is>
      </c>
      <c r="B4" s="3" t="inlineStr">
        <is>
          <t>구분</t>
        </is>
      </c>
      <c r="C4" s="3" t="inlineStr">
        <is>
          <t>사용처</t>
        </is>
      </c>
      <c r="D4" s="4" t="inlineStr">
        <is>
          <t>금액(원)</t>
        </is>
      </c>
      <c r="E4" s="3" t="inlineStr">
        <is>
          <t>비고</t>
        </is>
      </c>
    </row>
    <row r="5" ht="20" customHeight="1">
      <c r="A5" s="5" t="n">
        <v>1</v>
      </c>
      <c r="B5" s="5" t="inlineStr">
        <is>
          <t>다과</t>
        </is>
      </c>
      <c r="C5" s="6" t="inlineStr">
        <is>
          <t>스타벅스</t>
        </is>
      </c>
      <c r="D5" s="7" t="n">
        <v>47300</v>
      </c>
      <c r="E5" s="5" t="n"/>
    </row>
    <row r="6" ht="20" customHeight="1">
      <c r="A6" s="5" t="n">
        <v>2</v>
      </c>
      <c r="B6" s="5" t="inlineStr">
        <is>
          <t>다과</t>
        </is>
      </c>
      <c r="C6" s="6" t="inlineStr">
        <is>
          <t>쿠팡</t>
        </is>
      </c>
      <c r="D6" s="7" t="n">
        <v>39820</v>
      </c>
      <c r="E6" s="5" t="n"/>
    </row>
    <row r="7" ht="20" customHeight="1">
      <c r="A7" s="5" t="n">
        <v>3</v>
      </c>
      <c r="B7" s="5" t="inlineStr">
        <is>
          <t>다과</t>
        </is>
      </c>
      <c r="C7" s="6" t="inlineStr">
        <is>
          <t>키노켄</t>
        </is>
      </c>
      <c r="D7" s="7" t="n">
        <v>17400</v>
      </c>
      <c r="E7" s="5" t="n"/>
    </row>
    <row r="8" ht="20" customHeight="1">
      <c r="A8" s="5" t="n">
        <v>4</v>
      </c>
      <c r="B8" s="5" t="inlineStr">
        <is>
          <t>식대</t>
        </is>
      </c>
      <c r="C8" s="6" t="inlineStr">
        <is>
          <t>금고기</t>
        </is>
      </c>
      <c r="D8" s="7" t="n">
        <v>70800</v>
      </c>
      <c r="E8" s="5" t="n"/>
    </row>
    <row r="9" ht="20" customHeight="1">
      <c r="A9" s="5" t="n">
        <v>5</v>
      </c>
      <c r="B9" s="5" t="inlineStr">
        <is>
          <t>식대</t>
        </is>
      </c>
      <c r="C9" s="6" t="inlineStr">
        <is>
          <t>미미향</t>
        </is>
      </c>
      <c r="D9" s="7" t="n">
        <v>178000</v>
      </c>
      <c r="E9" s="5" t="n"/>
    </row>
    <row r="10" ht="20" customHeight="1">
      <c r="A10" s="5" t="n">
        <v>6</v>
      </c>
      <c r="B10" s="5" t="inlineStr">
        <is>
          <t>주차비</t>
        </is>
      </c>
      <c r="C10" s="6" t="inlineStr">
        <is>
          <t>상일</t>
        </is>
      </c>
      <c r="D10" s="7" t="n">
        <v>20000</v>
      </c>
      <c r="E10" s="5" t="n"/>
    </row>
    <row r="11" ht="20" customHeight="1">
      <c r="A11" s="5" t="n">
        <v>7</v>
      </c>
      <c r="B11" s="5" t="inlineStr">
        <is>
          <t>주차비</t>
        </is>
      </c>
      <c r="C11" s="6" t="inlineStr">
        <is>
          <t>미찌</t>
        </is>
      </c>
      <c r="D11" s="7" t="n">
        <v>20000</v>
      </c>
      <c r="E11" s="5" t="n"/>
    </row>
    <row r="12">
      <c r="A12" s="8" t="inlineStr">
        <is>
          <t>다과 소계</t>
        </is>
      </c>
      <c r="B12" s="9" t="n"/>
      <c r="C12" s="10" t="n"/>
      <c r="D12" s="11">
        <f>SUMIF($B$5:$B$11,"다과",$D$5:$D$11)</f>
        <v>104520</v>
      </c>
      <c r="E12" s="9" t="n"/>
    </row>
    <row r="13">
      <c r="A13" s="8" t="inlineStr">
        <is>
          <t>식대 소계</t>
        </is>
      </c>
      <c r="B13" s="9" t="n"/>
      <c r="C13" s="10" t="n"/>
      <c r="D13" s="11">
        <f>SUMIF($B$5:$B$11,"식대",$D$5:$D$11)</f>
        <v>248800</v>
      </c>
      <c r="E13" s="9" t="n"/>
    </row>
    <row r="14">
      <c r="A14" s="8" t="inlineStr">
        <is>
          <t>주차비 소계</t>
        </is>
      </c>
      <c r="B14" s="9" t="n"/>
      <c r="C14" s="10" t="n"/>
      <c r="D14" s="11">
        <f>SUMIF($B$5:$B$11,"주차비",$D$5:$D$11)</f>
        <v>40000</v>
      </c>
      <c r="E14" s="9" t="n"/>
    </row>
    <row r="15" ht="26" customHeight="1">
      <c r="A15" s="12" t="inlineStr">
        <is>
          <t>총  계</t>
        </is>
      </c>
      <c r="B15" s="13" t="n"/>
      <c r="C15" s="14" t="n"/>
      <c r="D15" s="15">
        <f>SUM($D$5:$D$11)</f>
        <v>393320</v>
      </c>
      <c r="E15" s="13" t="n"/>
    </row>
    <row r="17">
      <c r="A17" s="16" t="inlineStr">
        <is>
          <t>※ 상기 금액은 2026. 8. 13. DX 교육 진행에 실제 소요된 금액이며, 증빙(카드전표·영수증)은 별첨합니다.</t>
        </is>
      </c>
    </row>
    <row r="18">
      <c r="A18" s="16" t="inlineStr">
        <is>
          <t>※ 금액 출처 : 교육 담당자 제출 사용내역 (다과 3건, 식대 2건, 주차비 2건).</t>
        </is>
      </c>
    </row>
  </sheetData>
  <mergeCells count="8">
    <mergeCell ref="A13:C13"/>
    <mergeCell ref="A2:E2"/>
    <mergeCell ref="A14:C14"/>
    <mergeCell ref="A1:E1"/>
    <mergeCell ref="A12:C12"/>
    <mergeCell ref="A17:E17"/>
    <mergeCell ref="A18:E18"/>
    <mergeCell ref="A15:C15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2026-08-14T02:13:44Z</dcterms:created>
  <dcterms:modified xsi:type="dcterms:W3CDTF">2026-08-14T02:13:44Z</dcterms:modified>
</cp:coreProperties>
</file>