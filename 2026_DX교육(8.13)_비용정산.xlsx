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38625" windowHeight="21105" tabRatio="600" firstSheet="0" activeTab="0" autoFilterDateGrouping="1"/>
  </bookViews>
  <sheets>
    <sheet name="경비계산" sheetId="1" state="visible" r:id="rId1"/>
  </sheets>
  <definedNames>
    <definedName name="_xlnm.Print_Area" localSheetId="0">'경비계산'!$A$1:$H$23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&quot;₩&quot;#,##0_);[Red]\(&quot;₩&quot;#,##0\)"/>
    <numFmt numFmtId="165" formatCode="&quot;₩&quot;#,##0"/>
    <numFmt numFmtId="166" formatCode="&quot;₩&quot;#,##0.00"/>
  </numFmts>
  <fonts count="40">
    <font>
      <name val="Malgun Gothic"/>
      <family val="2"/>
      <color theme="1"/>
      <sz val="11"/>
    </font>
    <font>
      <name val="Arial"/>
      <family val="2"/>
      <color theme="1"/>
      <sz val="12"/>
      <scheme val="minor"/>
    </font>
    <font>
      <name val="Malgun Gothic"/>
      <family val="2"/>
      <color theme="1"/>
      <sz val="11"/>
    </font>
    <font>
      <name val="Malgun Gothic"/>
      <family val="2"/>
      <color theme="0"/>
      <sz val="11"/>
    </font>
    <font>
      <name val="Malgun Gothic"/>
      <family val="2"/>
      <color rgb="FF9C0006"/>
      <sz val="11"/>
    </font>
    <font>
      <name val="Malgun Gothic"/>
      <family val="2"/>
      <b val="1"/>
      <color rgb="FFFA7D00"/>
      <sz val="11"/>
    </font>
    <font>
      <name val="Malgun Gothic"/>
      <family val="2"/>
      <b val="1"/>
      <color theme="0"/>
      <sz val="11"/>
    </font>
    <font>
      <name val="Malgun Gothic"/>
      <family val="2"/>
      <i val="1"/>
      <color rgb="FF7F7F7F"/>
      <sz val="11"/>
    </font>
    <font>
      <name val="Malgun Gothic"/>
      <family val="2"/>
      <color rgb="FF006100"/>
      <sz val="11"/>
    </font>
    <font>
      <name val="Malgun Gothic"/>
      <family val="2"/>
      <b val="1"/>
      <color theme="3"/>
      <sz val="15"/>
    </font>
    <font>
      <name val="Malgun Gothic"/>
      <family val="2"/>
      <b val="1"/>
      <color theme="3"/>
      <sz val="13"/>
    </font>
    <font>
      <name val="Malgun Gothic"/>
      <family val="2"/>
      <b val="1"/>
      <color theme="3"/>
      <sz val="11"/>
    </font>
    <font>
      <name val="Malgun Gothic"/>
      <family val="2"/>
      <color rgb="FF3F3F76"/>
      <sz val="11"/>
    </font>
    <font>
      <name val="Malgun Gothic"/>
      <family val="2"/>
      <color rgb="FFFA7D00"/>
      <sz val="11"/>
    </font>
    <font>
      <name val="Malgun Gothic"/>
      <family val="2"/>
      <color rgb="FF9C5700"/>
      <sz val="11"/>
    </font>
    <font>
      <name val="Malgun Gothic"/>
      <family val="2"/>
      <b val="1"/>
      <color rgb="FF3F3F3F"/>
      <sz val="11"/>
    </font>
    <font>
      <name val="Malgun Gothic"/>
      <family val="2"/>
      <color theme="3"/>
      <sz val="18"/>
    </font>
    <font>
      <name val="Malgun Gothic"/>
      <family val="2"/>
      <b val="1"/>
      <color theme="1"/>
      <sz val="11"/>
    </font>
    <font>
      <name val="Malgun Gothic"/>
      <family val="2"/>
      <color rgb="FFFF0000"/>
      <sz val="11"/>
    </font>
    <font>
      <name val="Malgun Gothic"/>
      <family val="2"/>
      <b val="1"/>
      <color theme="4" tint="-0.249977111117893"/>
      <sz val="28"/>
    </font>
    <font>
      <name val="Malgun Gothic"/>
      <family val="2"/>
      <color theme="4" tint="-0.249977111117893"/>
      <sz val="11"/>
    </font>
    <font>
      <name val="Malgun Gothic"/>
      <family val="2"/>
      <color theme="1"/>
      <sz val="12"/>
    </font>
    <font>
      <name val="Malgun Gothic"/>
      <family val="2"/>
      <b val="1"/>
      <color theme="0"/>
      <sz val="14"/>
    </font>
    <font>
      <name val="Malgun Gothic"/>
      <family val="2"/>
      <b val="1"/>
      <color theme="0"/>
      <sz val="16"/>
    </font>
    <font>
      <name val="돋움"/>
      <charset val="129"/>
      <family val="3"/>
      <sz val="8"/>
    </font>
    <font>
      <name val="Malgun Gothic"/>
      <charset val="129"/>
      <family val="3"/>
      <b val="1"/>
      <color theme="4" tint="-0.249977111117893"/>
      <sz val="18"/>
    </font>
    <font>
      <name val="Malgun Gothic"/>
      <family val="2"/>
      <color theme="4" tint="-0.249946592608417"/>
      <sz val="12"/>
    </font>
    <font>
      <name val="Arial"/>
      <family val="2"/>
      <color theme="4" tint="-0.249946592608417"/>
      <sz val="12"/>
      <scheme val="minor"/>
    </font>
    <font>
      <name val="Malgun Gothic"/>
      <charset val="129"/>
      <family val="3"/>
      <color theme="1"/>
      <sz val="12"/>
    </font>
    <font>
      <name val="Malgun Gothic"/>
      <family val="2"/>
      <b val="1"/>
      <color theme="1"/>
      <sz val="14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2"/>
      <color theme="1"/>
      <sz val="12"/>
    </font>
    <font>
      <name val="Malgun Gothic"/>
      <charset val="129"/>
      <family val="3"/>
      <b val="1"/>
      <color theme="1"/>
      <sz val="12"/>
    </font>
    <font>
      <name val="Arial"/>
      <family val="2"/>
      <color theme="4" tint="-0.249946592608417"/>
      <sz val="11"/>
      <scheme val="minor"/>
    </font>
    <font>
      <name val="Noto Sans KR"/>
      <charset val="129"/>
      <family val="3"/>
      <color theme="1"/>
      <sz val="12"/>
    </font>
    <font>
      <name val="Noto Sans KR"/>
      <charset val="129"/>
      <family val="3"/>
      <color theme="1"/>
      <sz val="11"/>
    </font>
    <font>
      <name val="Noto Sans KR"/>
      <charset val="129"/>
      <family val="3"/>
      <sz val="12"/>
    </font>
    <font>
      <name val="Noto Sans KR"/>
      <charset val="129"/>
      <family val="3"/>
      <sz val="11"/>
    </font>
    <font>
      <name val="Malgun Gothic"/>
      <b val="1"/>
      <sz val="12"/>
    </font>
    <font>
      <name val="Malgun Gothic"/>
      <color rgb="FF595959"/>
      <sz val="9"/>
    </font>
  </fonts>
  <fills count="37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FFFF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 tint="-0.249946592608417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47">
    <xf numFmtId="0" fontId="2" fillId="0" borderId="0"/>
    <xf numFmtId="43" fontId="2" fillId="0" borderId="0"/>
    <xf numFmtId="41" fontId="2" fillId="0" borderId="0"/>
    <xf numFmtId="44" fontId="2" fillId="0" borderId="0"/>
    <xf numFmtId="42" fontId="2" fillId="0" borderId="0"/>
    <xf numFmtId="9" fontId="2" fillId="0" borderId="0"/>
    <xf numFmtId="0" fontId="16" fillId="0" borderId="0"/>
    <xf numFmtId="0" fontId="9" fillId="0" borderId="1"/>
    <xf numFmtId="0" fontId="10" fillId="0" borderId="3"/>
    <xf numFmtId="0" fontId="11" fillId="0" borderId="4"/>
    <xf numFmtId="0" fontId="11" fillId="0" borderId="0"/>
    <xf numFmtId="0" fontId="8" fillId="5" borderId="0"/>
    <xf numFmtId="0" fontId="4" fillId="6" borderId="0"/>
    <xf numFmtId="0" fontId="14" fillId="7" borderId="0"/>
    <xf numFmtId="0" fontId="12" fillId="8" borderId="5"/>
    <xf numFmtId="0" fontId="15" fillId="9" borderId="6"/>
    <xf numFmtId="0" fontId="5" fillId="9" borderId="5"/>
    <xf numFmtId="0" fontId="13" fillId="0" borderId="7"/>
    <xf numFmtId="0" fontId="6" fillId="10" borderId="8"/>
    <xf numFmtId="0" fontId="18" fillId="0" borderId="0"/>
    <xf numFmtId="0" fontId="2" fillId="11" borderId="9"/>
    <xf numFmtId="0" fontId="7" fillId="0" borderId="0"/>
    <xf numFmtId="0" fontId="17" fillId="0" borderId="10"/>
    <xf numFmtId="0" fontId="3" fillId="12" borderId="0"/>
    <xf numFmtId="0" fontId="2" fillId="13" borderId="0"/>
    <xf numFmtId="0" fontId="2" fillId="14" borderId="0"/>
    <xf numFmtId="0" fontId="2" fillId="15" borderId="0"/>
    <xf numFmtId="0" fontId="3" fillId="16" borderId="0"/>
    <xf numFmtId="0" fontId="2" fillId="17" borderId="0"/>
    <xf numFmtId="0" fontId="2" fillId="18" borderId="0"/>
    <xf numFmtId="0" fontId="2" fillId="19" borderId="0"/>
    <xf numFmtId="0" fontId="3" fillId="20" borderId="0"/>
    <xf numFmtId="0" fontId="2" fillId="21" borderId="0"/>
    <xf numFmtId="0" fontId="2" fillId="22" borderId="0"/>
    <xf numFmtId="0" fontId="2" fillId="23" borderId="0"/>
    <xf numFmtId="0" fontId="3" fillId="24" borderId="0"/>
    <xf numFmtId="0" fontId="2" fillId="25" borderId="0"/>
    <xf numFmtId="0" fontId="2" fillId="26" borderId="0"/>
    <xf numFmtId="0" fontId="2" fillId="27" borderId="0"/>
    <xf numFmtId="0" fontId="3" fillId="28" borderId="0"/>
    <xf numFmtId="0" fontId="2" fillId="29" borderId="0"/>
    <xf numFmtId="0" fontId="2" fillId="30" borderId="0"/>
    <xf numFmtId="0" fontId="2" fillId="31" borderId="0"/>
    <xf numFmtId="0" fontId="3" fillId="32" borderId="0"/>
    <xf numFmtId="0" fontId="2" fillId="33" borderId="0"/>
    <xf numFmtId="0" fontId="2" fillId="34" borderId="0"/>
    <xf numFmtId="0" fontId="2" fillId="35" borderId="0"/>
  </cellStyleXfs>
  <cellXfs count="51">
    <xf numFmtId="0" fontId="0" fillId="0" borderId="0" pivotButton="0" quotePrefix="0" xfId="0"/>
    <xf numFmtId="0" fontId="0" fillId="2" borderId="1" pivotButton="0" quotePrefix="0" xfId="0"/>
    <xf numFmtId="0" fontId="0" fillId="2" borderId="0" pivotButton="0" quotePrefix="0" xfId="0"/>
    <xf numFmtId="0" fontId="21" fillId="0" borderId="0" pivotButton="0" quotePrefix="0" xfId="0"/>
    <xf numFmtId="0" fontId="22" fillId="4" borderId="0" applyAlignment="1" pivotButton="0" quotePrefix="0" xfId="0">
      <alignment horizontal="right" vertical="center" indent="2"/>
    </xf>
    <xf numFmtId="0" fontId="25" fillId="3" borderId="2" pivotButton="0" quotePrefix="0" xfId="0"/>
    <xf numFmtId="0" fontId="19" fillId="3" borderId="2" pivotButton="0" quotePrefix="0" xfId="0"/>
    <xf numFmtId="0" fontId="20" fillId="3" borderId="0" applyAlignment="1" pivotButton="0" quotePrefix="0" xfId="0">
      <alignment vertical="top" wrapText="1"/>
    </xf>
    <xf numFmtId="164" fontId="23" fillId="4" borderId="0" applyAlignment="1" pivotButton="0" quotePrefix="0" xfId="0">
      <alignment horizontal="left" vertical="center" indent="2"/>
    </xf>
    <xf numFmtId="0" fontId="26" fillId="2" borderId="0" applyAlignment="1" pivotButton="0" quotePrefix="0" xfId="0">
      <alignment horizontal="left" vertical="center" indent="2"/>
    </xf>
    <xf numFmtId="165" fontId="26" fillId="2" borderId="0" applyAlignment="1" pivotButton="0" quotePrefix="0" xfId="0">
      <alignment horizontal="left" vertical="center" indent="2"/>
    </xf>
    <xf numFmtId="0" fontId="21" fillId="0" borderId="0" applyAlignment="1" pivotButton="0" quotePrefix="0" xfId="0">
      <alignment vertical="center"/>
    </xf>
    <xf numFmtId="165" fontId="21" fillId="0" borderId="0" applyAlignment="1" pivotButton="0" quotePrefix="0" xfId="0">
      <alignment vertical="center"/>
    </xf>
    <xf numFmtId="0" fontId="27" fillId="2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165" fontId="28" fillId="0" borderId="0" applyAlignment="1" pivotButton="0" quotePrefix="0" xfId="0">
      <alignment vertical="center"/>
    </xf>
    <xf numFmtId="0" fontId="28" fillId="0" borderId="0" pivotButton="0" quotePrefix="0" xfId="0"/>
    <xf numFmtId="165" fontId="28" fillId="0" borderId="0" pivotButton="0" quotePrefix="0" xfId="0"/>
    <xf numFmtId="0" fontId="29" fillId="0" borderId="0" applyAlignment="1" pivotButton="0" quotePrefix="0" xfId="0">
      <alignment horizontal="left" vertical="center" indent="2"/>
    </xf>
    <xf numFmtId="0" fontId="30" fillId="0" borderId="0" applyAlignment="1" pivotButton="0" quotePrefix="0" xfId="0">
      <alignment horizontal="center" vertical="center"/>
    </xf>
    <xf numFmtId="165" fontId="21" fillId="2" borderId="0" applyAlignment="1" pivotButton="0" quotePrefix="0" xfId="0">
      <alignment horizontal="left" vertical="center" indent="2"/>
    </xf>
    <xf numFmtId="0" fontId="3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 indent="2"/>
    </xf>
    <xf numFmtId="0" fontId="32" fillId="2" borderId="0" applyAlignment="1" pivotButton="0" quotePrefix="0" xfId="0">
      <alignment horizontal="right" vertical="center" indent="2"/>
    </xf>
    <xf numFmtId="164" fontId="32" fillId="2" borderId="0" applyAlignment="1" pivotButton="0" quotePrefix="0" xfId="0">
      <alignment horizontal="left" vertical="center" indent="2"/>
    </xf>
    <xf numFmtId="0" fontId="33" fillId="2" borderId="0" applyAlignment="1" pivotButton="0" quotePrefix="0" xfId="0">
      <alignment horizontal="left" vertical="center" indent="2"/>
    </xf>
    <xf numFmtId="166" fontId="33" fillId="2" borderId="0" applyAlignment="1" pivotButton="0" quotePrefix="0" xfId="0">
      <alignment horizontal="left" vertical="center" indent="2"/>
    </xf>
    <xf numFmtId="0" fontId="33" fillId="2" borderId="0" applyAlignment="1" pivotButton="0" quotePrefix="0" xfId="0">
      <alignment vertical="center"/>
    </xf>
    <xf numFmtId="0" fontId="34" fillId="2" borderId="0" applyAlignment="1" pivotButton="0" quotePrefix="0" xfId="0">
      <alignment horizontal="left" vertical="center" indent="2"/>
    </xf>
    <xf numFmtId="165" fontId="34" fillId="2" borderId="0" applyAlignment="1" pivotButton="0" quotePrefix="0" xfId="0">
      <alignment horizontal="left" vertical="center" indent="2"/>
    </xf>
    <xf numFmtId="0" fontId="34" fillId="2" borderId="0" applyAlignment="1" pivotButton="0" quotePrefix="0" xfId="0">
      <alignment vertical="center"/>
    </xf>
    <xf numFmtId="0" fontId="35" fillId="2" borderId="0" applyAlignment="1" pivotButton="0" quotePrefix="0" xfId="0">
      <alignment horizontal="left" vertical="center" indent="2"/>
    </xf>
    <xf numFmtId="165" fontId="35" fillId="2" borderId="0" applyAlignment="1" pivotButton="0" quotePrefix="0" xfId="0">
      <alignment horizontal="left" vertical="center" indent="2"/>
    </xf>
    <xf numFmtId="166" fontId="35" fillId="2" borderId="0" applyAlignment="1" pivotButton="0" quotePrefix="0" xfId="0">
      <alignment horizontal="left" vertical="center" indent="2"/>
    </xf>
    <xf numFmtId="0" fontId="35" fillId="2" borderId="0" applyAlignment="1" pivotButton="0" quotePrefix="0" xfId="0">
      <alignment vertical="center"/>
    </xf>
    <xf numFmtId="165" fontId="36" fillId="2" borderId="11" applyAlignment="1" pivotButton="0" quotePrefix="0" xfId="0">
      <alignment horizontal="left" vertical="center" indent="2"/>
    </xf>
    <xf numFmtId="165" fontId="37" fillId="2" borderId="11" applyAlignment="1" pivotButton="0" quotePrefix="0" xfId="0">
      <alignment horizontal="left" vertical="center" indent="2"/>
    </xf>
    <xf numFmtId="165" fontId="34" fillId="2" borderId="0" applyAlignment="1" pivotButton="0" quotePrefix="0" xfId="0">
      <alignment horizontal="left" vertical="center" indent="2"/>
    </xf>
    <xf numFmtId="165" fontId="21" fillId="0" borderId="0" applyAlignment="1" pivotButton="0" quotePrefix="0" xfId="0">
      <alignment vertical="center"/>
    </xf>
    <xf numFmtId="165" fontId="36" fillId="2" borderId="11" applyAlignment="1" pivotButton="0" quotePrefix="0" xfId="0">
      <alignment horizontal="left" vertical="center" indent="2"/>
    </xf>
    <xf numFmtId="165" fontId="37" fillId="2" borderId="11" applyAlignment="1" pivotButton="0" quotePrefix="0" xfId="0">
      <alignment horizontal="left" vertical="center" indent="2"/>
    </xf>
    <xf numFmtId="0" fontId="21" fillId="36" borderId="0" applyAlignment="1" pivotButton="0" quotePrefix="0" xfId="0">
      <alignment vertical="center"/>
    </xf>
    <xf numFmtId="0" fontId="21" fillId="36" borderId="0" pivotButton="0" quotePrefix="0" xfId="0"/>
    <xf numFmtId="0" fontId="28" fillId="36" borderId="0" applyAlignment="1" pivotButton="0" quotePrefix="0" xfId="0">
      <alignment vertical="center"/>
    </xf>
    <xf numFmtId="165" fontId="28" fillId="0" borderId="0" applyAlignment="1" pivotButton="0" quotePrefix="0" xfId="0">
      <alignment vertical="center"/>
    </xf>
    <xf numFmtId="164" fontId="32" fillId="2" borderId="0" applyAlignment="1" pivotButton="0" quotePrefix="0" xfId="0">
      <alignment horizontal="left" vertical="center" indent="2"/>
    </xf>
    <xf numFmtId="9" fontId="32" fillId="2" borderId="0" applyAlignment="1" pivotButton="0" quotePrefix="0" xfId="0">
      <alignment horizontal="left" vertical="center" indent="2"/>
    </xf>
    <xf numFmtId="0" fontId="38" fillId="0" borderId="0" pivotButton="0" quotePrefix="0" xfId="0"/>
    <xf numFmtId="165" fontId="28" fillId="0" borderId="0" pivotButton="0" quotePrefix="0" xfId="0"/>
    <xf numFmtId="164" fontId="23" fillId="4" borderId="0" applyAlignment="1" pivotButton="0" quotePrefix="0" xfId="0">
      <alignment horizontal="left" vertical="center" indent="2"/>
    </xf>
    <xf numFmtId="0" fontId="39" fillId="2" borderId="1" pivotButton="0" quotePrefix="0" xfId="0"/>
  </cellXfs>
  <cellStyles count="47">
    <cellStyle name="표준" xfId="0" builtinId="0"/>
    <cellStyle name="쉼표" xfId="1" builtinId="3"/>
    <cellStyle name="쉼표 [0]" xfId="2" builtinId="6"/>
    <cellStyle name="통화" xfId="3" builtinId="4"/>
    <cellStyle name="통화 [0]" xfId="4" builtinId="7"/>
    <cellStyle name="백분율" xfId="5" builtinId="5"/>
    <cellStyle name="제목" xfId="6" builtinId="15"/>
    <cellStyle name="제목 1" xfId="7" builtinId="16"/>
    <cellStyle name="제목 2" xfId="8" builtinId="17"/>
    <cellStyle name="제목 3" xfId="9" builtinId="18"/>
    <cellStyle name="제목 4" xfId="10" builtinId="19"/>
    <cellStyle name="좋음" xfId="11" builtinId="26"/>
    <cellStyle name="나쁨" xfId="12" builtinId="27"/>
    <cellStyle name="보통" xfId="13" builtinId="28"/>
    <cellStyle name="입력" xfId="14" builtinId="20"/>
    <cellStyle name="출력" xfId="15" builtinId="21"/>
    <cellStyle name="계산" xfId="16" builtinId="22"/>
    <cellStyle name="연결된 셀" xfId="17" builtinId="24"/>
    <cellStyle name="셀 확인" xfId="18" builtinId="23"/>
    <cellStyle name="경고문" xfId="19" builtinId="11"/>
    <cellStyle name="메모" xfId="20" builtinId="10"/>
    <cellStyle name="설명 텍스트" xfId="21" builtinId="53"/>
    <cellStyle name="요약" xfId="22" builtinId="25"/>
    <cellStyle name="강조색1" xfId="23" builtinId="29"/>
    <cellStyle name="20% - 강조색1" xfId="24" builtinId="30"/>
    <cellStyle name="40% - 강조색1" xfId="25" builtinId="31"/>
    <cellStyle name="60% - 강조색1" xfId="26" builtinId="32"/>
    <cellStyle name="강조색2" xfId="27" builtinId="33"/>
    <cellStyle name="20% - 강조색2" xfId="28" builtinId="34"/>
    <cellStyle name="40% - 강조색2" xfId="29" builtinId="35"/>
    <cellStyle name="60% - 강조색2" xfId="30" builtinId="36"/>
    <cellStyle name="강조색3" xfId="31" builtinId="37"/>
    <cellStyle name="20% - 강조색3" xfId="32" builtinId="38"/>
    <cellStyle name="40% - 강조색3" xfId="33" builtinId="39"/>
    <cellStyle name="60% - 강조색3" xfId="34" builtinId="40"/>
    <cellStyle name="강조색4" xfId="35" builtinId="41"/>
    <cellStyle name="20% - 강조색4" xfId="36" builtinId="42"/>
    <cellStyle name="40% - 강조색4" xfId="37" builtinId="43"/>
    <cellStyle name="60% - 강조색4" xfId="38" builtinId="44"/>
    <cellStyle name="강조색5" xfId="39" builtinId="45"/>
    <cellStyle name="20% - 강조색5" xfId="40" builtinId="46"/>
    <cellStyle name="40% - 강조색5" xfId="41" builtinId="47"/>
    <cellStyle name="60% - 강조색5" xfId="42" builtinId="48"/>
    <cellStyle name="강조색6" xfId="43" builtinId="49"/>
    <cellStyle name="20% - 강조색6" xfId="44" builtinId="50"/>
    <cellStyle name="40% - 강조색6" xfId="45" builtinId="51"/>
    <cellStyle name="60% - 강조색6" xfId="46" builtinId="52"/>
  </cellStyles>
  <dxfs count="7">
    <dxf>
      <font>
        <name val="Arial"/>
        <strike val="0"/>
        <outline val="0"/>
        <shadow val="0"/>
        <color theme="4" tint="-0.249946592608417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Arial"/>
        <strike val="0"/>
        <outline val="0"/>
        <shadow val="0"/>
        <color theme="4" tint="-0.249946592608417"/>
        <sz val="11"/>
        <vertAlign val="baseline"/>
        <scheme val="minor"/>
      </font>
      <numFmt numFmtId="180" formatCode="&quot;₩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Arial"/>
        <strike val="0"/>
        <outline val="0"/>
        <shadow val="0"/>
        <color theme="4" tint="-0.249946592608417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Arial"/>
        <strike val="0"/>
        <outline val="0"/>
        <shadow val="0"/>
        <color theme="4" tint="-0.249946592608417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Arial"/>
        <b val="1"/>
        <strike val="0"/>
        <outline val="0"/>
        <shadow val="0"/>
        <color theme="0"/>
        <sz val="14"/>
        <vertAlign val="baseline"/>
        <scheme val="minor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비즈니스 테이블" pivot="0" count="2">
      <tableStyleElement type="wholeTable" dxfId="6"/>
      <tableStyleElement type="headerRow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표_송장세부사항" displayName="표_송장세부사항" ref="B4:D18" headerRowCount="1" totalsRowShown="0" headerRowDxfId="4" dataDxfId="3">
  <tableColumns count="3">
    <tableColumn id="1" name="항목 설명" dataDxfId="2"/>
    <tableColumn id="2" name="금액" dataDxfId="1"/>
    <tableColumn id="3" name="대상 / 방법" dataDxfId="0"/>
  </tableColumns>
  <tableStyleInfo name="비즈니스 테이블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4"/>
  <sheetViews>
    <sheetView showGridLines="0" tabSelected="1" view="pageBreakPreview" topLeftCell="A4" zoomScale="115" zoomScaleNormal="100" zoomScaleSheetLayoutView="115" workbookViewId="0">
      <selection activeCell="J13" sqref="J13"/>
    </sheetView>
  </sheetViews>
  <sheetFormatPr baseColWidth="8" defaultColWidth="8.875" defaultRowHeight="16.5"/>
  <cols>
    <col width="3.125" customWidth="1" min="1" max="1"/>
    <col width="28.5" customWidth="1" min="2" max="2"/>
    <col width="25.5" customWidth="1" min="3" max="3"/>
    <col width="27.375" customWidth="1" min="4" max="4"/>
    <col width="14.375" customWidth="1" min="5" max="5"/>
    <col width="14.75" customWidth="1" min="7" max="7"/>
    <col width="16.375" customWidth="1" min="8" max="8"/>
    <col width="15" bestFit="1" customWidth="1" min="10" max="10"/>
  </cols>
  <sheetData>
    <row r="1" ht="17.25" customHeight="1" thickBot="1"/>
    <row r="2" ht="65.45" customHeight="1" thickTop="1">
      <c r="B2" s="5" t="inlineStr">
        <is>
          <t>인베스터유나이티드</t>
        </is>
      </c>
      <c r="C2" s="6" t="n"/>
      <c r="D2" t="inlineStr">
        <is>
          <t> </t>
        </is>
      </c>
    </row>
    <row r="3" ht="60" customHeight="1">
      <c r="B3" s="7" t="inlineStr">
        <is>
          <t>2026 DX 교육 비용
(2026. 8. 13. 시행)</t>
        </is>
      </c>
      <c r="C3" s="7" t="n"/>
    </row>
    <row r="4" ht="28.15" customHeight="1">
      <c r="B4" s="18" t="inlineStr">
        <is>
          <t>항목 설명</t>
        </is>
      </c>
      <c r="C4" s="18" t="inlineStr">
        <is>
          <t>금액</t>
        </is>
      </c>
      <c r="D4" s="19" t="inlineStr">
        <is>
          <t>대상 / 방법</t>
        </is>
      </c>
    </row>
    <row r="5" ht="28.15" customFormat="1" customHeight="1" s="11">
      <c r="B5" s="28" t="inlineStr">
        <is>
          <t>1. 다과(스타벅스)</t>
        </is>
      </c>
      <c r="C5" s="37" t="n">
        <v>47300</v>
      </c>
      <c r="D5" s="30" t="n"/>
    </row>
    <row r="6" ht="28.15" customFormat="1" customHeight="1" s="11">
      <c r="B6" s="28" t="inlineStr">
        <is>
          <t>2. 다과(쿠팡)</t>
        </is>
      </c>
      <c r="C6" s="37" t="n">
        <v>39820</v>
      </c>
      <c r="D6" s="30" t="n"/>
      <c r="F6" s="11" t="inlineStr">
        <is>
          <t>다과</t>
        </is>
      </c>
      <c r="G6" s="38">
        <f>SUM(C5:C7)</f>
        <v>104520</v>
      </c>
      <c r="J6" s="39" t="n"/>
    </row>
    <row r="7" ht="28.15" customFormat="1" customHeight="1" s="11">
      <c r="B7" s="28" t="inlineStr">
        <is>
          <t>3. 다과(키노켄)</t>
        </is>
      </c>
      <c r="C7" s="37" t="n">
        <v>17400</v>
      </c>
      <c r="D7" s="30" t="n"/>
      <c r="F7" s="11" t="inlineStr">
        <is>
          <t>식대</t>
        </is>
      </c>
      <c r="G7" s="38">
        <f>SUM(C8:C9)</f>
        <v>248800</v>
      </c>
      <c r="J7" s="39" t="n"/>
    </row>
    <row r="8" ht="28.15" customFormat="1" customHeight="1" s="11">
      <c r="B8" s="28" t="inlineStr">
        <is>
          <t>4. 식대(금고기)</t>
        </is>
      </c>
      <c r="C8" s="37" t="n">
        <v>70800</v>
      </c>
      <c r="D8" s="30" t="n"/>
      <c r="F8" s="11" t="inlineStr">
        <is>
          <t>주차비</t>
        </is>
      </c>
      <c r="G8" s="38">
        <f>SUM(C10:C11)</f>
        <v>40000</v>
      </c>
      <c r="H8" s="11" t="n"/>
      <c r="J8" s="39" t="n"/>
    </row>
    <row r="9" ht="28.15" customFormat="1" customHeight="1" s="11">
      <c r="B9" s="28" t="inlineStr">
        <is>
          <t>5. 식대(미미향)</t>
        </is>
      </c>
      <c r="C9" s="37" t="n">
        <v>178000</v>
      </c>
      <c r="D9" s="30" t="n"/>
      <c r="F9" s="11" t="n"/>
      <c r="G9" s="38" t="n"/>
      <c r="J9" s="39" t="n"/>
    </row>
    <row r="10" ht="28.15" customFormat="1" customHeight="1" s="11">
      <c r="B10" s="28" t="inlineStr">
        <is>
          <t>6. 주차비(상일)</t>
        </is>
      </c>
      <c r="C10" s="37" t="n">
        <v>20000</v>
      </c>
      <c r="D10" s="30" t="n"/>
      <c r="J10" s="39" t="n"/>
    </row>
    <row r="11" ht="28.15" customFormat="1" customHeight="1" s="11">
      <c r="B11" s="28" t="inlineStr">
        <is>
          <t>7. 주차비(미찌)</t>
        </is>
      </c>
      <c r="C11" s="37" t="n">
        <v>20000</v>
      </c>
      <c r="D11" s="30" t="n"/>
      <c r="H11" s="11" t="inlineStr">
        <is>
          <t>배분금액</t>
        </is>
      </c>
      <c r="J11" s="40" t="n"/>
    </row>
    <row r="12" ht="28.15" customFormat="1" customHeight="1" s="11">
      <c r="B12" s="28" t="n"/>
      <c r="C12" s="37" t="n"/>
      <c r="D12" s="30" t="n"/>
      <c r="F12" s="11" t="inlineStr">
        <is>
          <t>연합</t>
        </is>
      </c>
      <c r="G12" s="41" t="n"/>
      <c r="H12" s="38">
        <f>IFERROR($C$22*G12/$G$20,"")</f>
        <v/>
      </c>
      <c r="J12" s="38" t="n"/>
    </row>
    <row r="13" ht="28.15" customFormat="1" customHeight="1" s="11">
      <c r="B13" s="28" t="n"/>
      <c r="C13" s="37" t="n"/>
      <c r="D13" s="30" t="n"/>
      <c r="F13" s="11" t="inlineStr">
        <is>
          <t>SG</t>
        </is>
      </c>
      <c r="G13" s="41" t="n"/>
      <c r="H13" s="38">
        <f>IFERROR($C$22*G13/$G$20,"")</f>
        <v/>
      </c>
    </row>
    <row r="14" ht="28.15" customFormat="1" customHeight="1" s="11">
      <c r="B14" s="28" t="n"/>
      <c r="C14" s="37" t="n"/>
      <c r="D14" s="30" t="n"/>
      <c r="F14" s="11" t="inlineStr">
        <is>
          <t>쌤&amp;파커스</t>
        </is>
      </c>
      <c r="G14" s="42" t="n"/>
      <c r="H14" s="38">
        <f>IFERROR($C$22*G14/$G$20,"")</f>
        <v/>
      </c>
    </row>
    <row r="15" ht="28.15" customFormat="1" customHeight="1" s="11">
      <c r="B15" s="28" t="n"/>
      <c r="C15" s="37" t="n"/>
      <c r="D15" s="30" t="n"/>
      <c r="F15" s="11" t="inlineStr">
        <is>
          <t>좋은사람들</t>
        </is>
      </c>
      <c r="G15" s="41" t="n"/>
      <c r="H15" s="38">
        <f>IFERROR($C$22*G15/$G$20,"")</f>
        <v/>
      </c>
    </row>
    <row r="16" ht="28.15" customFormat="1" customHeight="1" s="11">
      <c r="B16" s="28" t="n"/>
      <c r="C16" s="37" t="n"/>
      <c r="D16" s="30" t="n"/>
      <c r="F16" s="11" t="inlineStr">
        <is>
          <t>휴맥스</t>
        </is>
      </c>
      <c r="G16" s="41" t="n"/>
      <c r="H16" s="38">
        <f>IFERROR($C$22*G16/$G$20,"")</f>
        <v/>
      </c>
    </row>
    <row r="17" ht="28.15" customFormat="1" customHeight="1" s="11">
      <c r="B17" s="28" t="n"/>
      <c r="C17" s="37" t="n"/>
      <c r="D17" s="30" t="n"/>
      <c r="F17" s="11" t="inlineStr">
        <is>
          <t>메가라인</t>
        </is>
      </c>
      <c r="G17" s="41" t="n"/>
      <c r="H17" s="38">
        <f>IFERROR($C$22*G17/$G$20,"")</f>
        <v/>
      </c>
    </row>
    <row r="18" ht="28.15" customFormat="1" customHeight="1" s="3">
      <c r="B18" s="28" t="n"/>
      <c r="C18" s="37" t="n"/>
      <c r="D18" s="30" t="n"/>
      <c r="F18" s="11" t="inlineStr">
        <is>
          <t>상일</t>
        </is>
      </c>
      <c r="G18" s="43" t="n"/>
      <c r="H18" s="44">
        <f>IFERROR($C$22*G18/$G$20,"")</f>
        <v/>
      </c>
    </row>
    <row r="19" ht="28.15" customFormat="1" customHeight="1" s="16">
      <c r="B19" s="23" t="inlineStr">
        <is>
          <t>소계</t>
        </is>
      </c>
      <c r="C19" s="45">
        <f>SUM(표_송장세부사항[금액])</f>
        <v>393320</v>
      </c>
      <c r="F19" s="14" t="inlineStr">
        <is>
          <t>미찌</t>
        </is>
      </c>
      <c r="G19" s="43" t="n"/>
      <c r="H19" s="44">
        <f>IFERROR($C$22*G19/$G$20,"")</f>
        <v/>
      </c>
    </row>
    <row r="20" ht="28.15" customFormat="1" customHeight="1" s="16">
      <c r="B20" s="23" t="inlineStr">
        <is>
          <t>부가세율 (해당 시)</t>
        </is>
      </c>
      <c r="C20" s="46" t="n"/>
      <c r="G20" s="47">
        <f>SUM(G12:G19)</f>
        <v>0</v>
      </c>
      <c r="H20" s="48">
        <f>SUM(H12:H19)</f>
        <v>0</v>
      </c>
    </row>
    <row r="21" ht="28.15" customFormat="1" customHeight="1" s="16">
      <c r="B21" s="23" t="inlineStr">
        <is>
          <t>기타 가산액</t>
        </is>
      </c>
      <c r="C21" s="45" t="n"/>
    </row>
    <row r="22" ht="28.15" customHeight="1">
      <c r="B22" s="4" t="inlineStr">
        <is>
          <t>총 비용</t>
        </is>
      </c>
      <c r="C22" s="49">
        <f>IFERROR(C19*(1+C20)+C21,"")</f>
        <v>393320</v>
      </c>
    </row>
    <row r="23" ht="20.1" customHeight="1">
      <c r="B23" s="2" t="n"/>
      <c r="C23" s="2" t="n"/>
    </row>
    <row r="24" ht="21" customHeight="1" thickBot="1">
      <c r="B24" s="50" t="inlineStr">
        <is>
          <t>※ 노란색 셀(G12:G19 회사별 인원수)을 입력하면 배분금액이 자동 계산됩니다. 「대상 / 방법」란은 지급처·지급방법을 입력해 주세요.</t>
        </is>
      </c>
      <c r="C24" s="1" t="n"/>
    </row>
    <row r="25" ht="17.25" customHeight="1" thickTop="1"/>
  </sheetData>
  <dataValidations count="9">
    <dataValidation sqref="A2" showDropDown="0" showInputMessage="1" showErrorMessage="1" allowBlank="1" promptTitle="송장 서식 파일" prompt="_x000a_송장 세부 사항, 항목 설명, 금액, 세율 및 기타 비용을 입력하세요. 소계 및 총 비용이 자동으로 계산됩니다."/>
    <dataValidation sqref="C22" showDropDown="0" showInputMessage="1" showErrorMessage="1" allowBlank="1" prompt="총 비용이 이 셀에 자동으로 계산됩니다."/>
    <dataValidation sqref="C19:C21" showDropDown="0" showInputMessage="1" showErrorMessage="1" allowBlank="1" prompt="소계가 이 셀에 자동으로 계산됩니다."/>
    <dataValidation sqref="B21" showDropDown="0" showInputMessage="1" showErrorMessage="1" allowBlank="1" prompt="오른쪽 셀에 기타 비용을 입력합니다."/>
    <dataValidation sqref="B20" showDropDown="0" showInputMessage="1" showErrorMessage="1" allowBlank="1" prompt="오른쪽 셀에 세율을 입력합니다."/>
    <dataValidation sqref="B19" showDropDown="0" showInputMessage="1" showErrorMessage="1" allowBlank="1" prompt="오른쪽 셀에 소계가 자동으로 계산됩니다."/>
    <dataValidation sqref="C4" showDropDown="0" showInputMessage="1" showErrorMessage="1" allowBlank="1" prompt="이 열에 금액을 입력합니다. 세율 및 기타 비용을 표 아래 셀에 입력하여 소계 및 총 비용을 계산합니다."/>
    <dataValidation sqref="B4" showDropDown="0" showInputMessage="1" showErrorMessage="1" allowBlank="1" prompt="이 열에 항목 설명을 입력합니다."/>
    <dataValidation sqref="B22" showDropDown="0" showInputMessage="1" showErrorMessage="1" allowBlank="1" prompt="총 비용이 오른쪽 셀에 자동으로 계산됩니다."/>
  </dataValidations>
  <printOptions horizontalCentered="1"/>
  <pageMargins left="0.25" right="0.25" top="0.75" bottom="0.75" header="0.3" footer="0.3"/>
  <pageSetup orientation="landscape" paperSize="9" scale="7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2022-11-15T22:52:31Z</dcterms:created>
  <dcterms:modified xsi:type="dcterms:W3CDTF">2026-08-14T02:20:26Z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  <property name="MSIP_Label_defa4170-0d19-0005-0004-bc88714345d2_Enabled" fmtid="{D5CDD505-2E9C-101B-9397-08002B2CF9AE}" pid="3">
    <vt:lpwstr>true</vt:lpwstr>
  </property>
  <property name="MSIP_Label_defa4170-0d19-0005-0004-bc88714345d2_SetDate" fmtid="{D5CDD505-2E9C-101B-9397-08002B2CF9AE}" pid="4">
    <vt:lpwstr>2026-05-12T21:54:40Z</vt:lpwstr>
  </property>
  <property name="MSIP_Label_defa4170-0d19-0005-0004-bc88714345d2_Method" fmtid="{D5CDD505-2E9C-101B-9397-08002B2CF9AE}" pid="5">
    <vt:lpwstr>Standard</vt:lpwstr>
  </property>
  <property name="MSIP_Label_defa4170-0d19-0005-0004-bc88714345d2_Name" fmtid="{D5CDD505-2E9C-101B-9397-08002B2CF9AE}" pid="6">
    <vt:lpwstr>defa4170-0d19-0005-0004-bc88714345d2</vt:lpwstr>
  </property>
  <property name="MSIP_Label_defa4170-0d19-0005-0004-bc88714345d2_SiteId" fmtid="{D5CDD505-2E9C-101B-9397-08002B2CF9AE}" pid="7">
    <vt:lpwstr>0938762f-c7b3-41be-bcb2-d405cd0437c3</vt:lpwstr>
  </property>
  <property name="MSIP_Label_defa4170-0d19-0005-0004-bc88714345d2_ActionId" fmtid="{D5CDD505-2E9C-101B-9397-08002B2CF9AE}" pid="8">
    <vt:lpwstr>cb4a78b7-0b1f-4562-9a0b-181fc7490768</vt:lpwstr>
  </property>
  <property name="MSIP_Label_defa4170-0d19-0005-0004-bc88714345d2_ContentBits" fmtid="{D5CDD505-2E9C-101B-9397-08002B2CF9AE}" pid="9">
    <vt:lpwstr>0</vt:lpwstr>
  </property>
  <property name="MSIP_Label_defa4170-0d19-0005-0004-bc88714345d2_Tag" fmtid="{D5CDD505-2E9C-101B-9397-08002B2CF9AE}" pid="10">
    <vt:lpwstr>10, 3, 0, 2</vt:lpwstr>
  </property>
</Properties>
</file>